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kpit" sheetId="1" r:id="rId4"/>
    <sheet state="visible" name="Nachrücker" sheetId="2" r:id="rId5"/>
    <sheet state="visible" name="Übersicht" sheetId="3" r:id="rId6"/>
    <sheet state="visible" name="Groß &amp; Regelmäßig" sheetId="4" r:id="rId7"/>
    <sheet state="visible" name="Groß &amp; Gelegentlich" sheetId="5" r:id="rId8"/>
    <sheet state="visible" name="Klein &amp; Regelmäßig" sheetId="6" r:id="rId9"/>
    <sheet state="visible" name="Klein &amp; Gelegentlich" sheetId="7" r:id="rId10"/>
  </sheets>
  <definedNames>
    <definedName hidden="1" localSheetId="2" name="_xlnm._FilterDatabase">'Übersicht'!$A$4:$P$59</definedName>
    <definedName hidden="1" localSheetId="3" name="_xlnm._FilterDatabase">'Groß &amp; Regelmäßig'!$A$4:$P$17</definedName>
    <definedName hidden="1" localSheetId="4" name="_xlnm._FilterDatabase">'Groß &amp; Gelegentlich'!$A$4:$P$18</definedName>
    <definedName hidden="1" localSheetId="5" name="_xlnm._FilterDatabase">'Klein &amp; Regelmäßig'!$A$4:$P$18</definedName>
    <definedName hidden="1" localSheetId="6" name="_xlnm._FilterDatabase">'Klein &amp; Gelegentlich'!$A$4:$P$17</definedName>
  </definedNames>
  <calcPr/>
  <extLst>
    <ext uri="GoogleSheetsCustomDataVersion2">
      <go:sheetsCustomData xmlns:go="http://customooxmlschemas.google.com/" r:id="rId11" roundtripDataChecksum="u0M/FpQ8hiLA98MBtl4lyHYpkUlwmoLsDw5d9gV7Jow="/>
    </ext>
  </extLst>
</workbook>
</file>

<file path=xl/sharedStrings.xml><?xml version="1.0" encoding="utf-8"?>
<sst xmlns="http://schemas.openxmlformats.org/spreadsheetml/2006/main" count="1568" uniqueCount="748">
  <si>
    <t>Projekt-Cockpit: Interviewplanung</t>
  </si>
  <si>
    <t>Status Übersicht</t>
  </si>
  <si>
    <t>Team Auslastung</t>
  </si>
  <si>
    <t>Top Städte</t>
  </si>
  <si>
    <t>Top Angebotstypen</t>
  </si>
  <si>
    <t>Status</t>
  </si>
  <si>
    <t>Anzahl</t>
  </si>
  <si>
    <t>Name</t>
  </si>
  <si>
    <t>Einsätze</t>
  </si>
  <si>
    <t>Stadt</t>
  </si>
  <si>
    <t>Typ</t>
  </si>
  <si>
    <t>Kontaktiert</t>
  </si>
  <si>
    <t>Andreas Braxmeier</t>
  </si>
  <si>
    <t>Villingen-Schwenningen</t>
  </si>
  <si>
    <t>Kinder- &amp; Jugendarbeit</t>
  </si>
  <si>
    <t>Nachfragen</t>
  </si>
  <si>
    <t>Nadine Beha</t>
  </si>
  <si>
    <t>St. Georgen</t>
  </si>
  <si>
    <t>Sportangebot</t>
  </si>
  <si>
    <t>Zusage</t>
  </si>
  <si>
    <t>Sophie Scheffler</t>
  </si>
  <si>
    <t>Donaueschingen</t>
  </si>
  <si>
    <t>Prävention</t>
  </si>
  <si>
    <t>Terminiert</t>
  </si>
  <si>
    <t>Ragavi Anusujantha</t>
  </si>
  <si>
    <t>Bad Dürrheim</t>
  </si>
  <si>
    <t>Soziales</t>
  </si>
  <si>
    <t>Durchgeführt</t>
  </si>
  <si>
    <t>Nina Ludwig</t>
  </si>
  <si>
    <t>Triberg</t>
  </si>
  <si>
    <t>Beratung</t>
  </si>
  <si>
    <t>Abgeschlossen</t>
  </si>
  <si>
    <t>Hüfingen</t>
  </si>
  <si>
    <t>BOS</t>
  </si>
  <si>
    <t>Absage</t>
  </si>
  <si>
    <t>Schonach</t>
  </si>
  <si>
    <t>Musik</t>
  </si>
  <si>
    <t xml:space="preserve">Überblick Interviewpartner*innen </t>
  </si>
  <si>
    <t xml:space="preserve">Bezeichnung in Transkript </t>
  </si>
  <si>
    <t xml:space="preserve">Name </t>
  </si>
  <si>
    <t xml:space="preserve">Institution </t>
  </si>
  <si>
    <t>Interviewender 1+2</t>
  </si>
  <si>
    <t>B1</t>
  </si>
  <si>
    <t xml:space="preserve">Frau Engesser </t>
  </si>
  <si>
    <t xml:space="preserve">Familenpass Bräunlingen </t>
  </si>
  <si>
    <t xml:space="preserve">Nadine + Ragavi </t>
  </si>
  <si>
    <t>B2</t>
  </si>
  <si>
    <t>Herr Mengensdorf</t>
  </si>
  <si>
    <t>TV St. Georgen</t>
  </si>
  <si>
    <t xml:space="preserve">Nadine + Sophie </t>
  </si>
  <si>
    <t>B3</t>
  </si>
  <si>
    <t xml:space="preserve">Frau Knöbel </t>
  </si>
  <si>
    <t>Pro Familia VS</t>
  </si>
  <si>
    <t>Nina + Andreas</t>
  </si>
  <si>
    <t>B4</t>
  </si>
  <si>
    <t>Frau Rau</t>
  </si>
  <si>
    <t>Kreisjugendamt VS</t>
  </si>
  <si>
    <t xml:space="preserve">Sophie + Nadine </t>
  </si>
  <si>
    <t>B5</t>
  </si>
  <si>
    <t>Herr Mielenz</t>
  </si>
  <si>
    <t>BEKJ Villingen-Schwenningen</t>
  </si>
  <si>
    <t>Sophie + Nina</t>
  </si>
  <si>
    <t>B6</t>
  </si>
  <si>
    <t>Frau Slee</t>
  </si>
  <si>
    <t>Schulsozialarbeit GMS Eschach-Neckar</t>
  </si>
  <si>
    <t>B7</t>
  </si>
  <si>
    <t>B8</t>
  </si>
  <si>
    <t>B9</t>
  </si>
  <si>
    <t>B10</t>
  </si>
  <si>
    <t>B11</t>
  </si>
  <si>
    <t>B12</t>
  </si>
  <si>
    <t>1: Große Reichweite &amp; Regelmäßiger Kontakt</t>
  </si>
  <si>
    <t>Akteur</t>
  </si>
  <si>
    <t>Angebotstyp</t>
  </si>
  <si>
    <t>Ort</t>
  </si>
  <si>
    <t>Ansprechpartner</t>
  </si>
  <si>
    <t>E-Mail</t>
  </si>
  <si>
    <t>Telefon</t>
  </si>
  <si>
    <t>Website (URL)</t>
  </si>
  <si>
    <t>Bereits Kontaktiert</t>
  </si>
  <si>
    <t>Kontaktdaten geprüft</t>
  </si>
  <si>
    <t>TV 1863 St. Georgen</t>
  </si>
  <si>
    <t>Sport</t>
  </si>
  <si>
    <t>Christine Hackenjos (Geschäftsführung)</t>
  </si>
  <si>
    <t>vorstand@tv-st-georgen.de</t>
  </si>
  <si>
    <t>​07724 918481</t>
  </si>
  <si>
    <r>
      <rPr>
        <color rgb="FF1155CC"/>
        <u/>
      </rPr>
      <t>info@tv-st-georgen.de</t>
    </r>
  </si>
  <si>
    <t>Bedeutet, dass der Akteur bereits angeschrieben wurde Ggf gibt es mehrere Dopplungen der Akteuere beim Anschreiben bitte darauf achten</t>
  </si>
  <si>
    <t>Schwenninger ERC 04</t>
  </si>
  <si>
    <t>Schwenningen</t>
  </si>
  <si>
    <t>Geschäftsstelle</t>
  </si>
  <si>
    <t>info@wildwings-future.de</t>
  </si>
  <si>
    <t>0049 – (0)7720 – 65429</t>
  </si>
  <si>
    <t>wildwings.de</t>
  </si>
  <si>
    <t>Bedeutet, dass ich hier ein begründetes interesse habe tiefer einzugehen und die Akteure ggf.  zu bevorzugen</t>
  </si>
  <si>
    <t>Ago e.V.</t>
  </si>
  <si>
    <t>Dr. Thomas Meiworm</t>
  </si>
  <si>
    <t>info@ago-ev.de</t>
  </si>
  <si>
    <t>+49 771 8978181</t>
  </si>
  <si>
    <t>verein-ago.de</t>
  </si>
  <si>
    <t>Georg Müller Schule</t>
  </si>
  <si>
    <t>Bildung</t>
  </si>
  <si>
    <t>Sekretariat</t>
  </si>
  <si>
    <t>info@gmsvs.de</t>
  </si>
  <si>
    <t>07720-994747</t>
  </si>
  <si>
    <t>gmsvs.de</t>
  </si>
  <si>
    <t>Neckarschule</t>
  </si>
  <si>
    <t>Schulleitung</t>
  </si>
  <si>
    <t>neckarschule@villingen-schwenningen.de</t>
  </si>
  <si>
    <t>+49 7720 821360</t>
  </si>
  <si>
    <t>neckarschule.de</t>
  </si>
  <si>
    <t>SV 1921 Mühlhausen</t>
  </si>
  <si>
    <t>Kinderturnen</t>
  </si>
  <si>
    <t>Mühlhausen</t>
  </si>
  <si>
    <t>Allgemeine Mail wahrscheinlich aber Vorstand: Andreas Kohler &amp; Daniel Wannack</t>
  </si>
  <si>
    <r>
      <rPr>
        <rFont val="Arial"/>
        <color rgb="FF1155CC"/>
        <u/>
      </rPr>
      <t>mail@sv1921muehlhausen.de</t>
    </r>
  </si>
  <si>
    <t>+49 7720 989652</t>
  </si>
  <si>
    <t>sv-muehlhausen.de</t>
  </si>
  <si>
    <t>Malteser Hilfsdienst</t>
  </si>
  <si>
    <t>Jugendgruppe (BOS)</t>
  </si>
  <si>
    <t>VS-Villingen</t>
  </si>
  <si>
    <t>Benjamin Crain</t>
  </si>
  <si>
    <t>benjamin.crain@malteser.org</t>
  </si>
  <si>
    <t>+49 7721 91700</t>
  </si>
  <si>
    <t>malteser.de</t>
  </si>
  <si>
    <t>Ski-Club Villingen</t>
  </si>
  <si>
    <t>Sport (MTB)</t>
  </si>
  <si>
    <t>Villingen</t>
  </si>
  <si>
    <t>Jochen Menath (Vorstand)</t>
  </si>
  <si>
    <r>
      <rPr>
        <rFont val="Arial"/>
        <color rgb="FF1155CC"/>
        <u/>
      </rPr>
      <t>jochen.menath@skiclub-villingen.de</t>
    </r>
  </si>
  <si>
    <t>+49 179 9062809</t>
  </si>
  <si>
    <t>skiclub-villingen.de</t>
  </si>
  <si>
    <t>Psychol. Beratungsstelle (Ev./Kath.)</t>
  </si>
  <si>
    <t>VS-Schwenningen</t>
  </si>
  <si>
    <t>Zentrale Anmeldung</t>
  </si>
  <si>
    <t>info@tut.psychberatungsstelle.de</t>
  </si>
  <si>
    <t>+49 7720 7690</t>
  </si>
  <si>
    <t>psychberatungsstelle.de</t>
  </si>
  <si>
    <t>TuS 1869 Bräunlingen</t>
  </si>
  <si>
    <t>Bräunlingen</t>
  </si>
  <si>
    <t>Nicole Bobak (Geschäftsstelle)(Stand 2020 ggf neeuer)</t>
  </si>
  <si>
    <t>info@tusbraeunlingen.de</t>
  </si>
  <si>
    <t>+49 771 64080</t>
  </si>
  <si>
    <t>tus-braeunlingen.de</t>
  </si>
  <si>
    <t>FC Viktoria Peterzell e.V.</t>
  </si>
  <si>
    <t>info@fcpeterzell.de</t>
  </si>
  <si>
    <t>+49 7724 1355</t>
  </si>
  <si>
    <t>fcpeterzell.de</t>
  </si>
  <si>
    <t>FC Pfohren e.V.</t>
  </si>
  <si>
    <t>info@fcpfohren.de</t>
  </si>
  <si>
    <t>+49 771 12399</t>
  </si>
  <si>
    <t>fcpfohren.de</t>
  </si>
  <si>
    <t>Grundschule Kappel</t>
  </si>
  <si>
    <t>Niedereschach</t>
  </si>
  <si>
    <t xml:space="preserve">Carina Häsler (Extern von der Stadt, aber leitet die Vermittlung anscheinend für die Kindergärten) </t>
  </si>
  <si>
    <r>
      <rPr>
        <rFont val="Arial"/>
        <color rgb="FF1155CC"/>
        <u/>
      </rPr>
      <t>vormerkung.kita@niedereschach.de</t>
    </r>
  </si>
  <si>
    <t xml:space="preserve">49 7728 1363 (vom Kindergarten) von Carina: (0 77 28) 648-31 </t>
  </si>
  <si>
    <t>niedereschach.de</t>
  </si>
  <si>
    <t>Heinrich-Feurstein-Schule</t>
  </si>
  <si>
    <t>info@hfs-ds.de</t>
  </si>
  <si>
    <t>+49 771 13139</t>
  </si>
  <si>
    <t>hfs-ds.de</t>
  </si>
  <si>
    <t>FamZ Pater Edgar Weinmann</t>
  </si>
  <si>
    <t>Betreuung</t>
  </si>
  <si>
    <t>Katrin Schwager (Leiterin des Familienzentrums)</t>
  </si>
  <si>
    <t>familienzentrum-ne@kath-andereschach.de</t>
  </si>
  <si>
    <t>+49 7728 862</t>
  </si>
  <si>
    <t>kath-andereschach.de</t>
  </si>
  <si>
    <t>Kinderfeuerwehr St. Georgen</t>
  </si>
  <si>
    <t>Christoph Kleiner</t>
  </si>
  <si>
    <t>kleiner@feuerwehr-st-georgen.de</t>
  </si>
  <si>
    <t>+49 7724 7102</t>
  </si>
  <si>
    <t>feuerwehr-st-georgen.de</t>
  </si>
  <si>
    <t>KiTa St. Antonius</t>
  </si>
  <si>
    <t>Schönwald</t>
  </si>
  <si>
    <t>Gabi Hirt (KiFaZ Koordination)</t>
  </si>
  <si>
    <r>
      <rPr>
        <rFont val="Arial"/>
        <color rgb="FF1155CC"/>
        <u/>
      </rPr>
      <t>info@kiga-schoenwald.de</t>
    </r>
  </si>
  <si>
    <t>+49 7722 1616</t>
  </si>
  <si>
    <t>schoenwald.de</t>
  </si>
  <si>
    <t>Musikschule Blumberg e.V.</t>
  </si>
  <si>
    <t>Blumberg</t>
  </si>
  <si>
    <t>Verwaltung oder Michael Jerg (Musikschulleitung)</t>
  </si>
  <si>
    <t>info@musikschuleblumberg.de oder michael-jerg@gmx.de</t>
  </si>
  <si>
    <t>+49 7707 9165</t>
  </si>
  <si>
    <t>musikschuleblumberg.de</t>
  </si>
  <si>
    <t>SSC Bad Dürrheim</t>
  </si>
  <si>
    <t>Volker Weiß (Leitung)</t>
  </si>
  <si>
    <r>
      <rPr>
        <rFont val="Arial"/>
        <color rgb="FF1155CC"/>
        <u/>
      </rPr>
      <t>1.vorstand@ssc-badduerrheim.de</t>
    </r>
  </si>
  <si>
    <t>49 7726 6711</t>
  </si>
  <si>
    <t>ssc-badduerrheim.de</t>
  </si>
  <si>
    <t>Dom Clemente Schule</t>
  </si>
  <si>
    <t>D. Tritschler</t>
  </si>
  <si>
    <r>
      <rPr>
        <rFont val="Arial"/>
        <color rgb="FF1155CC"/>
        <u/>
      </rPr>
      <t>d.tritschler@schonach.de</t>
    </r>
  </si>
  <si>
    <t>+49 7722 9648121</t>
  </si>
  <si>
    <t>dom-clemente-schule.de</t>
  </si>
  <si>
    <t>KHS (Wirtschaftsgymnasium)</t>
  </si>
  <si>
    <t>info@khs-donaueschingen.de</t>
  </si>
  <si>
    <t>+49 771 83221-0</t>
  </si>
  <si>
    <t>khs-donaueschingen.de</t>
  </si>
  <si>
    <t>Mail fehler</t>
  </si>
  <si>
    <t>Zirkus Confetti (TV Villingen)</t>
  </si>
  <si>
    <t>Kultur/Sport</t>
  </si>
  <si>
    <t>Larissa Eiternik</t>
  </si>
  <si>
    <t>info@zirkus-confetti.eu</t>
  </si>
  <si>
    <t>07721 26408 (Nummer läuft über TV Villingen)</t>
  </si>
  <si>
    <t>zirkus-confetti.eu</t>
  </si>
  <si>
    <t>Anne-Frank-Grundschule</t>
  </si>
  <si>
    <t>Furtwangen</t>
  </si>
  <si>
    <t>schulleitung@afs-furtwangen.de</t>
  </si>
  <si>
    <t>07723/6568200</t>
  </si>
  <si>
    <t>https://www.afs-furtwangen.de/</t>
  </si>
  <si>
    <t>Bregtalschule (SBBZ)</t>
  </si>
  <si>
    <t>Markus Hummel</t>
  </si>
  <si>
    <t>info@bregtalschule.de</t>
  </si>
  <si>
    <t>+49 7723 912253</t>
  </si>
  <si>
    <t>bregtalschule.de</t>
  </si>
  <si>
    <t>ins ca. 18 neue kontaktiert aus kategorie 1 und 2</t>
  </si>
  <si>
    <t>Kinderschutzbund VS</t>
  </si>
  <si>
    <t>dksb@dksb-vs.de</t>
  </si>
  <si>
    <t>+49 7720 955930</t>
  </si>
  <si>
    <t>dksb-vs.de</t>
  </si>
  <si>
    <t>DLRG Donaueschingen</t>
  </si>
  <si>
    <t>Thomas Moch</t>
  </si>
  <si>
    <r>
      <rPr>
        <rFont val="Arial"/>
        <color rgb="FF1155CC"/>
        <u/>
      </rPr>
      <t>info(at)baar.dlrg.de</t>
    </r>
  </si>
  <si>
    <r>
      <rPr>
        <rFont val="Arial"/>
        <color rgb="FF1155CC"/>
        <u/>
      </rPr>
      <t>07705 256480</t>
    </r>
  </si>
  <si>
    <t>donaueschingen.dlrg.de</t>
  </si>
  <si>
    <t>Jugendmusikschule</t>
  </si>
  <si>
    <t>Verwaltung</t>
  </si>
  <si>
    <t>jms@jugendmusikschulen.de</t>
  </si>
  <si>
    <t>07724/4968</t>
  </si>
  <si>
    <t>st-georgen.de</t>
  </si>
  <si>
    <t>KiTa Schwalben-Nest</t>
  </si>
  <si>
    <t>KiTa</t>
  </si>
  <si>
    <t>Weiler</t>
  </si>
  <si>
    <t>Stefanie Höfgen</t>
  </si>
  <si>
    <r>
      <rPr>
        <rFont val="Arial"/>
        <color rgb="FF1155CC"/>
        <u/>
      </rPr>
      <t>Kita.schwalbennest.weiler@kbz.ekiba.de​</t>
    </r>
  </si>
  <si>
    <t>(0 77 25) 36 20</t>
  </si>
  <si>
    <t>kita-schwalbennest.org</t>
  </si>
  <si>
    <t>Golden-Bühl-Schule</t>
  </si>
  <si>
    <r>
      <rPr>
        <rFont val="Arial"/>
        <color rgb="FF1155CC"/>
        <u/>
      </rPr>
      <t>goldenbuehlschule@villingen-schwenningen.de</t>
    </r>
  </si>
  <si>
    <t>07721 / 82-1621</t>
  </si>
  <si>
    <t>goldenbuehlschule.de</t>
  </si>
  <si>
    <t>Thomas Strittmatter Gymnasium</t>
  </si>
  <si>
    <t>sekretariat@tsg-stgeorgen.de</t>
  </si>
  <si>
    <t>https://tsg-stgeorgen.de</t>
  </si>
  <si>
    <t>2: Große Reichweite &amp; Gelegentlicher Kontakt</t>
  </si>
  <si>
    <t>Sommerrainschule (Sportkooperation)</t>
  </si>
  <si>
    <t>Sport/Bildung</t>
  </si>
  <si>
    <t>sbbz-st.georgen@t-online.de</t>
  </si>
  <si>
    <t>07724-87163</t>
  </si>
  <si>
    <t>sommerrainschule.de</t>
  </si>
  <si>
    <t>GMS Eschach-Neckar (Schulhunde)</t>
  </si>
  <si>
    <t>Tiere/Bildung</t>
  </si>
  <si>
    <t>Fr. Rektorin Silke Wiest</t>
  </si>
  <si>
    <t>sekretariat@gms-eschach-neckar.de</t>
  </si>
  <si>
    <t>+49 7728 644910</t>
  </si>
  <si>
    <t>gms-eschach-neckar.de</t>
  </si>
  <si>
    <t>Naturfreibad Schönwald</t>
  </si>
  <si>
    <t>Sportstätte</t>
  </si>
  <si>
    <t>Tourist-Information</t>
  </si>
  <si>
    <t>info@schoenwald.de</t>
  </si>
  <si>
    <t>+49 7722 86080</t>
  </si>
  <si>
    <t>Dom Clemente (Bewegte Schule)</t>
  </si>
  <si>
    <t>Hr. Rektor Ralf Hellstab</t>
  </si>
  <si>
    <t>info@dom-clemente-schule.de</t>
  </si>
  <si>
    <r>
      <rPr>
        <rFont val="&quot;Google Sans Text&quot;, sans-serif !important"/>
        <b/>
        <color rgb="FF1155CC"/>
        <u/>
      </rPr>
      <t>dom-clemente-schule.de</t>
    </r>
  </si>
  <si>
    <t>Polizei Triberg (Prävention)</t>
  </si>
  <si>
    <t>Referat Prävention VS</t>
  </si>
  <si>
    <t>konstanz.pp.praevention.vs@polizei.bwl.de</t>
  </si>
  <si>
    <t>+49 7722 916070</t>
  </si>
  <si>
    <t>https://www.polizei-bw.de/</t>
  </si>
  <si>
    <t>Naturfreunde Bräunlingen</t>
  </si>
  <si>
    <t>Umwelt/Sport</t>
  </si>
  <si>
    <t>Vorstand</t>
  </si>
  <si>
    <r>
      <rPr>
        <rFont val="Arial"/>
        <color rgb="FF1155CC"/>
        <u/>
      </rPr>
      <t>naturfreunde-braeunlingen@gmx.de</t>
    </r>
  </si>
  <si>
    <t>(030) 29 77 32-60 (Nummer ggf. zur Hauptzentrale und nicht in die Ortsgruppe Bräunlingen)</t>
  </si>
  <si>
    <t>naturfreunde-braeunlingen.de</t>
  </si>
  <si>
    <t>MACH MIT! Museum</t>
  </si>
  <si>
    <t>Kultur</t>
  </si>
  <si>
    <t>Verwaltung / Leitung (Konrad Hall)</t>
  </si>
  <si>
    <t>info@kijumu-donaueschingen.de</t>
  </si>
  <si>
    <t>0771 92 94 74 26</t>
  </si>
  <si>
    <t>Mach Mit</t>
  </si>
  <si>
    <t>Offene Hilfen (Lebenshilfe)</t>
  </si>
  <si>
    <t>Hr. Mario Kienast</t>
  </si>
  <si>
    <t>info@lebenshilfe-vs.de</t>
  </si>
  <si>
    <t>+49 771 832620</t>
  </si>
  <si>
    <t>Bruderhausdiakonie</t>
  </si>
  <si>
    <t>Gemeinde Niedereschach (Ferien)</t>
  </si>
  <si>
    <t>Gemeinde Verwaltung (Ferienprogramm finde ich nicht aber vermutlich läuft es über die Verwaltung und die Schulen sind in Kooperation dabei... vielleicht stellen diese ja einen Kontakt her)</t>
  </si>
  <si>
    <t>info@niedereschach.de</t>
  </si>
  <si>
    <t>07728 648-0</t>
  </si>
  <si>
    <t>DRK Ortsverein Triberg</t>
  </si>
  <si>
    <t>info@drk-triberg.de</t>
  </si>
  <si>
    <t>(07722) 916430</t>
  </si>
  <si>
    <r>
      <rPr>
        <rFont val="&quot;Google Sans Text&quot;, sans-serif !important"/>
        <b/>
        <color rgb="FF1155CC"/>
        <u/>
      </rPr>
      <t>drk-triberg.de</t>
    </r>
  </si>
  <si>
    <t>Deutsche Kinderkrebsnachsorge</t>
  </si>
  <si>
    <t>Tannheim</t>
  </si>
  <si>
    <r>
      <rPr>
        <rFont val="Arial"/>
        <color rgb="FF1155CC"/>
        <u/>
      </rPr>
      <t>info@tannheim.de</t>
    </r>
  </si>
  <si>
    <t>07705 / 92 00</t>
  </si>
  <si>
    <t>tannheim.de</t>
  </si>
  <si>
    <t>Bregtalbad</t>
  </si>
  <si>
    <t>Thomas Wolff</t>
  </si>
  <si>
    <t>info@bregtalbad.de</t>
  </si>
  <si>
    <t>(07723) 91970</t>
  </si>
  <si>
    <t>furtwangen.de/bregtalbad</t>
  </si>
  <si>
    <t>Glonki-Gilde (Tanzgruppen)</t>
  </si>
  <si>
    <t>Fasnet</t>
  </si>
  <si>
    <t>Günther Reichenberger</t>
  </si>
  <si>
    <t xml:space="preserve">info@glonki.de </t>
  </si>
  <si>
    <t>-</t>
  </si>
  <si>
    <r>
      <rPr>
        <rFont val="&quot;Google Sans Text&quot;, sans-serif !important"/>
        <b/>
        <color rgb="FF1155CC"/>
        <u/>
      </rPr>
      <t>glonki.de</t>
    </r>
  </si>
  <si>
    <t>Freibad Solara</t>
  </si>
  <si>
    <t>Königsfeld</t>
  </si>
  <si>
    <r>
      <rPr>
        <rFont val="Arial"/>
        <color rgb="FF1155CC"/>
        <u/>
      </rPr>
      <t>solara.koenigsfeld@gmail.com</t>
    </r>
  </si>
  <si>
    <t>(+49) 7721 3101</t>
  </si>
  <si>
    <t>schwarzwald-tourismus.info</t>
  </si>
  <si>
    <t>United Church (Ev. Kirche)</t>
  </si>
  <si>
    <t>Religion</t>
  </si>
  <si>
    <t>Verwaltung der evangelischen Kirchengemeinde (also auf Verweis zur United Church hinweisen)</t>
  </si>
  <si>
    <r>
      <rPr>
        <rFont val="Arial"/>
        <color rgb="FF1155CC"/>
        <u/>
      </rPr>
      <t>info.villingen@kbz.ekiba.de</t>
    </r>
  </si>
  <si>
    <t>07721-8451-20</t>
  </si>
  <si>
    <t>united-church.de</t>
  </si>
  <si>
    <t>Royal Rangers (CG Villingen)</t>
  </si>
  <si>
    <t>Pfadfinder</t>
  </si>
  <si>
    <t>Hauptstammleiter Axel Lux</t>
  </si>
  <si>
    <r>
      <rPr>
        <color rgb="FF1155CC"/>
        <u/>
      </rPr>
      <t>rr@gnadenkirche-villingen.de</t>
    </r>
  </si>
  <si>
    <t>0160 3715375</t>
  </si>
  <si>
    <t>Crystalforum.de</t>
  </si>
  <si>
    <t>Caritas (Handicap-Angebote)</t>
  </si>
  <si>
    <t>SBK</t>
  </si>
  <si>
    <t>Hr. K.H. Grießhaber</t>
  </si>
  <si>
    <t>info@caritas-sbk.de</t>
  </si>
  <si>
    <t>+49 7721 84070</t>
  </si>
  <si>
    <r>
      <rPr>
        <rFont val="&quot;Google Sans Text&quot;, sans-serif !important"/>
        <b/>
        <color rgb="FF1155CC"/>
        <u/>
      </rPr>
      <t>caritas-sbk.de</t>
    </r>
  </si>
  <si>
    <t>DRK (Psychosoz. Notfallvorsorge)</t>
  </si>
  <si>
    <t>VS</t>
  </si>
  <si>
    <t>Fachdienstleitung</t>
  </si>
  <si>
    <t>info@drk-vs.de</t>
  </si>
  <si>
    <t>+49 7721 89800</t>
  </si>
  <si>
    <r>
      <rPr>
        <rFont val="&quot;Google Sans Text&quot;, sans-serif !important"/>
        <b/>
        <color rgb="FF1155CC"/>
        <u/>
      </rPr>
      <t>drk-vs.de</t>
    </r>
  </si>
  <si>
    <t>Mobile Jugendarbeit (Amt 40)</t>
  </si>
  <si>
    <t>Jugendhilfe</t>
  </si>
  <si>
    <t>Hr. Klaus Segelbacher</t>
  </si>
  <si>
    <t>mobile@villingen-schwenningen.de</t>
  </si>
  <si>
    <t>+49 7721 822421</t>
  </si>
  <si>
    <t>villingen-schwenningen.de</t>
  </si>
  <si>
    <t>Kath. Gemeinde Oberes Bregtal</t>
  </si>
  <si>
    <t>Pfarramt</t>
  </si>
  <si>
    <t>info@kath-bregtal.de</t>
  </si>
  <si>
    <t>07723 504766-0</t>
  </si>
  <si>
    <t>kath-bregtal.de</t>
  </si>
  <si>
    <t>Kinder- &amp; Jugendbibliothek</t>
  </si>
  <si>
    <t>Manuela Rosenstiel (Kinder-&amp; Jugendbibliothek) oder Ulrike Vetter (beide selbe Position plus selbe E-Mail)</t>
  </si>
  <si>
    <t>bibo@huefingen.de</t>
  </si>
  <si>
    <t>(+49) 771 6009-235</t>
  </si>
  <si>
    <t>huefingen.de/stadtbuecherei</t>
  </si>
  <si>
    <t>BUND Königsfeld-St. Georgen</t>
  </si>
  <si>
    <t>Umwelt</t>
  </si>
  <si>
    <t>Christoph Horrix (Ansprechpartner für St. Georgen)</t>
  </si>
  <si>
    <t>mail@horrix.de</t>
  </si>
  <si>
    <t>07724-9164848</t>
  </si>
  <si>
    <t>bund-koenigsfeld.de</t>
  </si>
  <si>
    <t>3: Kleine Reichweite &amp; Regelmäßiger Kontakt</t>
  </si>
  <si>
    <t>BC Villingen 1958</t>
  </si>
  <si>
    <t>vorstand@badminton-villingen.de</t>
  </si>
  <si>
    <t>(0174) 3187016</t>
  </si>
  <si>
    <t>bc-villingen.de</t>
  </si>
  <si>
    <t>BSG Furtwangen</t>
  </si>
  <si>
    <t>Sport/Inklusion</t>
  </si>
  <si>
    <t>info@turnverein-furtwangen.de</t>
  </si>
  <si>
    <t>+49 7723 5559</t>
  </si>
  <si>
    <t>bsg-furtwangen.de</t>
  </si>
  <si>
    <t>Stadtharmonie Villingen</t>
  </si>
  <si>
    <t>Eltern-Kind</t>
  </si>
  <si>
    <t>Heinrich Greif</t>
  </si>
  <si>
    <t>henry.greif@stadtharmonie.de</t>
  </si>
  <si>
    <t>stadtharmonie-villingen.de</t>
  </si>
  <si>
    <t>Golfjugend Königsfeld</t>
  </si>
  <si>
    <t>info@golfjugendkoenigsfeld.de</t>
  </si>
  <si>
    <t>+49 7725 93960</t>
  </si>
  <si>
    <t>gckonigsfeld.de</t>
  </si>
  <si>
    <t>SV Döggingen</t>
  </si>
  <si>
    <t>info@sv-doeggingen.de</t>
  </si>
  <si>
    <t>(0157) 33741727</t>
  </si>
  <si>
    <t>sv-doeggingen.de</t>
  </si>
  <si>
    <t>TuS Oberbaldingen</t>
  </si>
  <si>
    <t>s-dominke(at)t-online.de</t>
  </si>
  <si>
    <t>07706 371</t>
  </si>
  <si>
    <t>tus-oberbaldingen.de</t>
  </si>
  <si>
    <t>BPE (Psychiatrie-Erf.)</t>
  </si>
  <si>
    <t>Selbsthilfe</t>
  </si>
  <si>
    <t>Kontaktstelle VS (Regionale Leitung)</t>
  </si>
  <si>
    <t>bpe-vs@web.de</t>
  </si>
  <si>
    <t>+49 7721 21321</t>
  </si>
  <si>
    <t>bpe-online.de</t>
  </si>
  <si>
    <t>Crystal Forum</t>
  </si>
  <si>
    <t>info@crystalforum.de</t>
  </si>
  <si>
    <t>(49) 15147220555</t>
  </si>
  <si>
    <t>crystal-forum.de</t>
  </si>
  <si>
    <t>TV Villingen (Kunstturnen)</t>
  </si>
  <si>
    <r>
      <rPr>
        <rFont val="Arial"/>
        <color rgb="FF1155CC"/>
        <u/>
      </rPr>
      <t>info@tvvillingen.de</t>
    </r>
  </si>
  <si>
    <t>07721 26408</t>
  </si>
  <si>
    <t>tvvillingen.de</t>
  </si>
  <si>
    <t>MV Harmonie Schwenningen</t>
  </si>
  <si>
    <r>
      <rPr>
        <rFont val="Arial"/>
        <color rgb="FF1155CC"/>
        <u/>
      </rPr>
      <t>info@harmonie-schwenningen.de</t>
    </r>
  </si>
  <si>
    <t>0162 6425213</t>
  </si>
  <si>
    <t>mv-harmonie.de</t>
  </si>
  <si>
    <t>Naturkindergarten Wuki</t>
  </si>
  <si>
    <t>Martina Klink</t>
  </si>
  <si>
    <t>naturkindergarten-wuki@drk-kv-ds.de</t>
  </si>
  <si>
    <t>(01727) 289719</t>
  </si>
  <si>
    <t>naturkindergarten-wuki.de</t>
  </si>
  <si>
    <t>DPSG Stamm St. Ulrich</t>
  </si>
  <si>
    <t>Anmelde-Email aber ist im Impressum und sonst finde ich nichts) Vorstand: Christoph Mittermeier</t>
  </si>
  <si>
    <r>
      <rPr>
        <rFont val="Arial"/>
        <color rgb="FF1155CC"/>
        <u/>
      </rPr>
      <t>anmeldung@jugendzeltplatz-vs.de</t>
    </r>
  </si>
  <si>
    <t>(+49) 7720 813520</t>
  </si>
  <si>
    <t>dpsg-villingen.de</t>
  </si>
  <si>
    <t>RFV Schwenningen</t>
  </si>
  <si>
    <t>Tiere/Sport</t>
  </si>
  <si>
    <t>1. Vorstand Johann Bucher</t>
  </si>
  <si>
    <r>
      <rPr>
        <rFont val="Arial"/>
        <color rgb="FF1155CC"/>
        <u/>
      </rPr>
      <t>j.bucher@buerk-kauffmann.de</t>
    </r>
  </si>
  <si>
    <t>(+49) 17644494864 (Vanessa Hennig)</t>
  </si>
  <si>
    <t>reitverein-schwenningen.de</t>
  </si>
  <si>
    <t>AV Blau-Weiß VS</t>
  </si>
  <si>
    <t>Markus Gentner</t>
  </si>
  <si>
    <t>info@musikwerkstatt-vs.de</t>
  </si>
  <si>
    <t>(0)15111904437</t>
  </si>
  <si>
    <t>akkordeonverein-vs.de</t>
  </si>
  <si>
    <t>Naturerfahrungsraum</t>
  </si>
  <si>
    <t>Natur</t>
  </si>
  <si>
    <t>Dauchingen</t>
  </si>
  <si>
    <t>Gemeinde E-Mail (Verweisung auf Naturerhfarungsraum erbitten)</t>
  </si>
  <si>
    <r>
      <rPr>
        <rFont val="&quot;Open Sans&quot;, Arial, sans-serif"/>
        <color rgb="FF1155CC"/>
        <sz val="15.0"/>
        <u/>
      </rPr>
      <t>gemeinde@dauchingen.de</t>
    </r>
  </si>
  <si>
    <r>
      <rPr>
        <rFont val="&quot;Open Sans&quot;, Arial, sans-serif"/>
        <color rgb="FF1155CC"/>
        <sz val="15.0"/>
        <u/>
      </rPr>
      <t>07720 9777-0</t>
    </r>
  </si>
  <si>
    <t>dauchingen.de</t>
  </si>
  <si>
    <t>TG Weigheim</t>
  </si>
  <si>
    <t>Weigheim</t>
  </si>
  <si>
    <t>Jutta Falle (1. Vorstand</t>
  </si>
  <si>
    <r>
      <rPr>
        <rFont val="Arial"/>
        <color rgb="FF1155CC"/>
        <u/>
      </rPr>
      <t>fallerjutta[at]t-online.de</t>
    </r>
  </si>
  <si>
    <t>074256083)</t>
  </si>
  <si>
    <t>tg-weigheim.de</t>
  </si>
  <si>
    <t>FC Wolterdingen (Kinder)</t>
  </si>
  <si>
    <t>Wolterdingen</t>
  </si>
  <si>
    <t>Jugendlieter Johannes Scherer und Ismail Kocabiyik</t>
  </si>
  <si>
    <r>
      <rPr>
        <rFont val="&quot;Source Sans Pro&quot;, sans-serif"/>
        <color rgb="FF1155CC"/>
        <sz val="12.0"/>
        <u/>
      </rPr>
      <t>jugendleiter( at )fc-wolterdingen.de</t>
    </r>
  </si>
  <si>
    <t>07705/5661</t>
  </si>
  <si>
    <t>fc-wolterdingen.de</t>
  </si>
  <si>
    <t>Bauernhofkindergarten</t>
  </si>
  <si>
    <t>Waldhausen</t>
  </si>
  <si>
    <t>Vorstand (ggf. Larissa Schweizer (nicht eindeutig))</t>
  </si>
  <si>
    <t>kontakt@kita-natura.de</t>
  </si>
  <si>
    <t>07622 6909560</t>
  </si>
  <si>
    <t>kita-natura.de/braeunlingen/</t>
  </si>
  <si>
    <t>CVJM St. Georgen</t>
  </si>
  <si>
    <t>Samantha Lehmann</t>
  </si>
  <si>
    <r>
      <rPr>
        <rFont val="Arial"/>
        <color rgb="FF1155CC"/>
        <u/>
      </rPr>
      <t>samantha@cvjm-stgeorgen.de</t>
    </r>
  </si>
  <si>
    <t>(+49)1515811377</t>
  </si>
  <si>
    <t>cvjm-stgeorgen.de</t>
  </si>
  <si>
    <t>Regenbogenbrücke (Eschach)</t>
  </si>
  <si>
    <t>Michael Käfer (Gemeindereferent)</t>
  </si>
  <si>
    <r>
      <rPr>
        <rFont val="Arial"/>
        <color rgb="FF1155CC"/>
        <u/>
      </rPr>
      <t>michael.kaefer@kath-andereschach.de</t>
    </r>
  </si>
  <si>
    <t>(07725) 9799064</t>
  </si>
  <si>
    <t>se-eschach.de</t>
  </si>
  <si>
    <t>FFW Furtwangen (Kinder)</t>
  </si>
  <si>
    <r>
      <rPr>
        <rFont val="&quot;Roboto Condensed&quot;, sans-serif"/>
        <b/>
        <color rgb="FF1155CC"/>
        <sz val="11.0"/>
        <u/>
      </rPr>
      <t>Theresa Schäfer</t>
    </r>
  </si>
  <si>
    <t>jugendfeuerwehr@ffw-furtwangen.de</t>
  </si>
  <si>
    <t>0157/54042956</t>
  </si>
  <si>
    <t>feuerwehr-furtwangen.de</t>
  </si>
  <si>
    <t>Helferkreis Flüchtlinge</t>
  </si>
  <si>
    <t>Tuningen</t>
  </si>
  <si>
    <t>Christine Ritzi</t>
  </si>
  <si>
    <t>integrationsbeauftragte@tuningen.de</t>
  </si>
  <si>
    <t>07464 5299930</t>
  </si>
  <si>
    <t>tuningen.de</t>
  </si>
  <si>
    <t>Jugendhaus Bohrturm</t>
  </si>
  <si>
    <t>Jugendarbeit</t>
  </si>
  <si>
    <t>Michael Götz</t>
  </si>
  <si>
    <t>jugendhaus@bad-duerrheim.de</t>
  </si>
  <si>
    <t>+49 7726 370950</t>
  </si>
  <si>
    <t>bad-duerrheim.de</t>
  </si>
  <si>
    <t>Jugendhaus Spektrum</t>
  </si>
  <si>
    <t>spektrum@villingen-schwenningen.de</t>
  </si>
  <si>
    <t>07720/82-2233</t>
  </si>
  <si>
    <t>JRK Schwenningen</t>
  </si>
  <si>
    <t>info@jrk-kv-vs.de</t>
  </si>
  <si>
    <t>(+49) (0) 7721 89 88 0</t>
  </si>
  <si>
    <t>jrk-schwenningen.de</t>
  </si>
  <si>
    <t>MTB-Freunde Schonach</t>
  </si>
  <si>
    <t>vorstand@mountainbike-freunde.de</t>
  </si>
  <si>
    <t>(+49) 151 40704072</t>
  </si>
  <si>
    <t>mtb-freunde-schonach.de</t>
  </si>
  <si>
    <t>KiTa Funkelstein</t>
  </si>
  <si>
    <t>Hochemmingen</t>
  </si>
  <si>
    <t>kiga.hochemmingen@bad-duerrheim.de</t>
  </si>
  <si>
    <t>WIRkstatt</t>
  </si>
  <si>
    <t>Musacchio-Torzilli Antonia (Leitung)</t>
  </si>
  <si>
    <t>wirkstatt@st-georgen.de</t>
  </si>
  <si>
    <t>(49) 7724 87-390</t>
  </si>
  <si>
    <t>wirkstatt.de</t>
  </si>
  <si>
    <t>4: Kleine Reichweite &amp; Gelegentlicher Kontakt</t>
  </si>
  <si>
    <t>Waldkiga Naturstrolche</t>
  </si>
  <si>
    <t>Binder Cordula (Leitung)</t>
  </si>
  <si>
    <r>
      <rPr>
        <rFont val="Arial"/>
        <color rgb="FF1155CC"/>
        <u/>
      </rPr>
      <t>naturstrolche(at)st-georgen.de</t>
    </r>
  </si>
  <si>
    <t>(+49) 178 8856749</t>
  </si>
  <si>
    <t>vhs Baar</t>
  </si>
  <si>
    <t>Thomas Gähme (Leitung)</t>
  </si>
  <si>
    <t>gaehme@vhs-baar.de</t>
  </si>
  <si>
    <t>+49 7702 51105</t>
  </si>
  <si>
    <r>
      <rPr>
        <rFont val="&quot;Google Sans Text&quot;, sans-serif !important"/>
        <color rgb="FF1155CC"/>
        <u/>
      </rPr>
      <t>vhs-baar.de</t>
    </r>
  </si>
  <si>
    <t>vhs Tuningen</t>
  </si>
  <si>
    <t>Tanja Fritschi</t>
  </si>
  <si>
    <t>info@vhs-baar-hochschwarzwald.de</t>
  </si>
  <si>
    <t>+49 7651 1363</t>
  </si>
  <si>
    <t>vhs-baar-hochschwarzwald.de</t>
  </si>
  <si>
    <t>Menschen in Not e.V.</t>
  </si>
  <si>
    <t>Jürgen Beil</t>
  </si>
  <si>
    <t>info@menschen-in-not-bd.de</t>
  </si>
  <si>
    <t>+49 7726 370501</t>
  </si>
  <si>
    <t>menschen-in-not-bd.de</t>
  </si>
  <si>
    <t>Tina's Schatzkiste</t>
  </si>
  <si>
    <t>Tina Grießhaber</t>
  </si>
  <si>
    <r>
      <rPr>
        <rFont val="Arial"/>
        <color rgb="FF1155CC"/>
        <u/>
      </rPr>
      <t>Tinasschatzkiste@gmx.de</t>
    </r>
  </si>
  <si>
    <t>07728/2320301</t>
  </si>
  <si>
    <t>tinas-schatzkiste.de</t>
  </si>
  <si>
    <t>Stadtjugendreferat</t>
  </si>
  <si>
    <t>Info von Stadt Blumberg (keine Mail gefunden (ggf. weiterleitung bitten))</t>
  </si>
  <si>
    <t>info@stadt-blumberg.de</t>
  </si>
  <si>
    <r>
      <rPr>
        <rFont val="Poppins, Arial, Helvetica, sans-serif"/>
        <color rgb="FF1155CC"/>
        <sz val="13.0"/>
        <u/>
      </rPr>
      <t>07702 51-0</t>
    </r>
  </si>
  <si>
    <t>blumberg.de</t>
  </si>
  <si>
    <t>Stadtbibliothek</t>
  </si>
  <si>
    <t>Kienzler Lucia (Leitung)</t>
  </si>
  <si>
    <t>bibliothek@st-georgen.de</t>
  </si>
  <si>
    <t>(+49) 7724 87301</t>
  </si>
  <si>
    <t>Rupertsbergschule (Sozialt.)</t>
  </si>
  <si>
    <t>Leitung</t>
  </si>
  <si>
    <r>
      <rPr>
        <rFont val="Arial"/>
        <color rgb="FF1155CC"/>
        <u/>
      </rPr>
      <t>poststelle@04151361.schule.bwl.de</t>
    </r>
  </si>
  <si>
    <t>(07724) 919231</t>
  </si>
  <si>
    <r>
      <rPr>
        <rFont val="&quot;Google Sans Text&quot;, sans-serif !important"/>
        <color rgb="FF1155CC"/>
        <u/>
      </rPr>
      <t>rupertsbergschule.de</t>
    </r>
  </si>
  <si>
    <t>Weiherdammschule (SBBZ)</t>
  </si>
  <si>
    <t>Rektor Ralf-Dieter Gauß</t>
  </si>
  <si>
    <t>poststelle@04113940.schule.bw.de</t>
  </si>
  <si>
    <t>+49 7702 479150</t>
  </si>
  <si>
    <t>weiherdammschule.de</t>
  </si>
  <si>
    <t>Sommerrainschule (Sonderp.D.)</t>
  </si>
  <si>
    <t>https://www.sbbz-schule.de</t>
  </si>
  <si>
    <t>SHG Burnout &amp; Co.</t>
  </si>
  <si>
    <t>info@selbsthilfe-burnout.de</t>
  </si>
  <si>
    <t>(+49 (0) 7726 336 36 20</t>
  </si>
  <si>
    <t>selbsthilfe-sbk.de</t>
  </si>
  <si>
    <t>Bujukai Self-Defense</t>
  </si>
  <si>
    <t>Sébastien Weitbruch</t>
  </si>
  <si>
    <t>sebastien@bujukai-villingen.de</t>
  </si>
  <si>
    <t>07728-646777</t>
  </si>
  <si>
    <t>bujukai.de</t>
  </si>
  <si>
    <t>Schwarzwald-Gymnasium</t>
  </si>
  <si>
    <t>OStD Thomas Sester</t>
  </si>
  <si>
    <t>sekretariat@gymnasium-triberg.de</t>
  </si>
  <si>
    <t>+49 7722 96020</t>
  </si>
  <si>
    <t>gymnasium-triberg.de</t>
  </si>
  <si>
    <t>Caritas (Schulsozialarbeit)</t>
  </si>
  <si>
    <t>Alina Leibiger</t>
  </si>
  <si>
    <r>
      <rPr>
        <rFont val="Arial"/>
        <color rgb="FF1155CC"/>
        <u/>
      </rPr>
      <t>alina.leibiger@caritas-sbk.de</t>
    </r>
  </si>
  <si>
    <t>07720 821292</t>
  </si>
  <si>
    <t>caritas-sbk.de</t>
  </si>
  <si>
    <t>Schulpsychol. Beratungsstelle</t>
  </si>
  <si>
    <t>poststelle.spbs-ds@zsl-rs-fr.kv.bwl.de</t>
  </si>
  <si>
    <t>(0771) 8967030</t>
  </si>
  <si>
    <t>ssa-donaueschingen.de</t>
  </si>
  <si>
    <t>Realschule St. Georgen</t>
  </si>
  <si>
    <r>
      <rPr>
        <rFont val="Arial"/>
        <color rgb="FF1155CC"/>
        <sz val="9.0"/>
        <u/>
      </rPr>
      <t>sekretariat@rsstg.de</t>
    </r>
  </si>
  <si>
    <t>(497724)87430</t>
  </si>
  <si>
    <t>realschule-st-georgen.de</t>
  </si>
  <si>
    <t>Realschule am Salinensee</t>
  </si>
  <si>
    <r>
      <rPr>
        <rFont val="Arial"/>
        <color rgb="FF1155CC"/>
        <u/>
      </rPr>
      <t>poststelle@04119441.schule.bwl.de</t>
    </r>
  </si>
  <si>
    <t>49 (0) 7726 / 9282611</t>
  </si>
  <si>
    <t>rs-salinensee.de</t>
  </si>
  <si>
    <t>Narrenzunft Schwenningen</t>
  </si>
  <si>
    <t>Florian Schütze</t>
  </si>
  <si>
    <t>f.schuetze@sturmbuehl30.de</t>
  </si>
  <si>
    <t>07720/838040</t>
  </si>
  <si>
    <t>narrenzunft-schwenningen.de</t>
  </si>
  <si>
    <t>NABU (Umweltbildung)</t>
  </si>
  <si>
    <t>Hans Schonhardt</t>
  </si>
  <si>
    <t>info@nabu-st-georgen.de</t>
  </si>
  <si>
    <t>+49 7724 916170</t>
  </si>
  <si>
    <t>nabu-st-georgen.de</t>
  </si>
  <si>
    <t>Grauzone e.V.</t>
  </si>
  <si>
    <r>
      <rPr>
        <rFont val="Arial"/>
        <color rgb="FF1155CC"/>
        <u/>
      </rPr>
      <t>info@grauzone-ev.de</t>
    </r>
  </si>
  <si>
    <t>0771/4111</t>
  </si>
  <si>
    <t>grauzone-ev.de</t>
  </si>
  <si>
    <t>Blaues Kreuz</t>
  </si>
  <si>
    <t>Armin Schindel</t>
  </si>
  <si>
    <t>st.georgen@blaues-kreuz.de</t>
  </si>
  <si>
    <t>+49 7724 916196</t>
  </si>
  <si>
    <t>blaues-kreuz.de</t>
  </si>
  <si>
    <t>Beratungsstelle Eltern/Kind</t>
  </si>
  <si>
    <t>D.Mielenz@Lrasbk.de</t>
  </si>
  <si>
    <t>bst.villingen@lrasbk.de</t>
  </si>
  <si>
    <t>+49 7721 913 7676</t>
  </si>
  <si>
    <t>lrasbk.de</t>
  </si>
  <si>
    <t xml:space="preserve">haben wir den auch schon kontaktiert? </t>
  </si>
  <si>
    <t>AOK (T. Croonenbroeck)</t>
  </si>
  <si>
    <t>Tobias Croonenbroeck (Prävention)</t>
  </si>
  <si>
    <t>tobias.croonenbroeck@bw.aok.de</t>
  </si>
  <si>
    <t>(+49 74 61 70 42 64</t>
  </si>
  <si>
    <t>bw.aok.de</t>
  </si>
  <si>
    <t>JuFo Weiler</t>
  </si>
  <si>
    <t xml:space="preserve">Daniela Müller (1. Vorsitzende) </t>
  </si>
  <si>
    <r>
      <rPr>
        <rFont val="Arial"/>
        <color rgb="FF1155CC"/>
        <u/>
      </rPr>
      <t>jufo-weiler(at)gmx.de</t>
    </r>
  </si>
  <si>
    <t>jufo-weiler.de</t>
  </si>
  <si>
    <t>ÜBERSICHT</t>
  </si>
  <si>
    <t>Anzahl: 54</t>
  </si>
  <si>
    <t>Kategorie</t>
  </si>
  <si>
    <t>Interviewer 1</t>
  </si>
  <si>
    <t>Interviewer 2</t>
  </si>
  <si>
    <t>Datum</t>
  </si>
  <si>
    <t>Uhrzeit</t>
  </si>
  <si>
    <t>Dauer</t>
  </si>
  <si>
    <t>Art</t>
  </si>
  <si>
    <t>Ort / Link</t>
  </si>
  <si>
    <t>Themen</t>
  </si>
  <si>
    <t>Unterlagen</t>
  </si>
  <si>
    <t>Katholisches Familienzentrum St. Konrad</t>
  </si>
  <si>
    <t>Soziales / Selbsthilfe</t>
  </si>
  <si>
    <t>kontakt@familienzentrum-stkonrad.de</t>
  </si>
  <si>
    <t>Groß &amp; Regelmäßig</t>
  </si>
  <si>
    <t>info@verein-ago.de</t>
  </si>
  <si>
    <t>Psychologische Beratungsstelle Ev./Kath. Kirche</t>
  </si>
  <si>
    <t>gemeindebuero.schwenningen@elk-wue.de</t>
  </si>
  <si>
    <t>Sommerrainschule St. Georgen -- Sportangebote</t>
  </si>
  <si>
    <t>info@feuerwehr-st-georgen.de</t>
  </si>
  <si>
    <t>Neckarschule -- Klasse 2000</t>
  </si>
  <si>
    <t>Georg Müller Grund- und Realschule -- Präventionskonzept</t>
  </si>
  <si>
    <t>Caritas Schwangerschaftsberatung</t>
  </si>
  <si>
    <t>Sozialpsychiatrischer Dienst (Caritas)</t>
  </si>
  <si>
    <t>elke.schwarz@caritas-sbk.de</t>
  </si>
  <si>
    <t>Malteser Hilfsdienst -- Psychosoziale Notfallvorsorge</t>
  </si>
  <si>
    <t>Rainer.Kuehl@malteser.org</t>
  </si>
  <si>
    <t>AWO Haus der Kinder</t>
  </si>
  <si>
    <t>hausderkinder@awo-ov-vs.de</t>
  </si>
  <si>
    <t>Pro Familia Villingen-Schwenningen</t>
  </si>
  <si>
    <t>vs-villingen@profamilia.de</t>
  </si>
  <si>
    <t>Frau Knöbel</t>
  </si>
  <si>
    <t>Zoom</t>
  </si>
  <si>
    <t>Sportangebot Öfingen 1969</t>
  </si>
  <si>
    <t>jugend@sv-oefingen.de</t>
  </si>
  <si>
    <t>beratungsstelle-bekj-fw@Lrasbk.de</t>
  </si>
  <si>
    <t>Groß &amp; Gelegentlich</t>
  </si>
  <si>
    <t>Polizei Triberg -- Präventionsvorträge</t>
  </si>
  <si>
    <t>Keine E-Mail!</t>
  </si>
  <si>
    <t>rf@schwarzwald-gymnasium.de</t>
  </si>
  <si>
    <t>Lernort Natur -- Jägervereinigung SBK</t>
  </si>
  <si>
    <t>kjm-kjv-sbk@outlook.de</t>
  </si>
  <si>
    <t>Naturfreunde</t>
  </si>
  <si>
    <t>Umweltschutz</t>
  </si>
  <si>
    <t>naturfreunde-braeunlingen@gmx.de</t>
  </si>
  <si>
    <t>Kontaktstelle Beratung &amp; Freizeit</t>
  </si>
  <si>
    <t>David.Mueller@Bruderhausdiakonie.de</t>
  </si>
  <si>
    <t>Schulnetzwerk</t>
  </si>
  <si>
    <t>sekretariat@rsstg.de</t>
  </si>
  <si>
    <t>AWO Kinder- und Jugendhilfe</t>
  </si>
  <si>
    <t>s.brunner@awo-ov-vs.de</t>
  </si>
  <si>
    <t>DRK -- Psychosoziale Notfallvorsorge</t>
  </si>
  <si>
    <t>mail@psnv-sbk.de</t>
  </si>
  <si>
    <t>Projekt Bewegte Schule -- Dom-Clemente-Schule</t>
  </si>
  <si>
    <t>d.tritschler@schonach.de</t>
  </si>
  <si>
    <t>Schönwälder Naturfreibad</t>
  </si>
  <si>
    <t>mail@schoenwald.de</t>
  </si>
  <si>
    <t>Ausgeschlossen</t>
  </si>
  <si>
    <t>Freibad Tannheim</t>
  </si>
  <si>
    <t>info@freibad-tannheim.de</t>
  </si>
  <si>
    <t>Deutscher Kinderschutzbund OV</t>
  </si>
  <si>
    <t>info@dksb-furtwangen.de</t>
  </si>
  <si>
    <t>BUND Ortsverband</t>
  </si>
  <si>
    <t>bund.sbh@bund.net</t>
  </si>
  <si>
    <t>Bundesverband Psychiatrie-Erfahrener e.V.</t>
  </si>
  <si>
    <t>kontakt-info@bpe-online.de</t>
  </si>
  <si>
    <t>Klein &amp; Regelmäßig</t>
  </si>
  <si>
    <t>Jugendhaus Fürstenberg</t>
  </si>
  <si>
    <t>Svenja.markowitsch@huefingen.de</t>
  </si>
  <si>
    <t>Jugendtreff Hasen</t>
  </si>
  <si>
    <t>Jugendtreff-hasen@web.de</t>
  </si>
  <si>
    <t>Jugendclub Schabenhausen</t>
  </si>
  <si>
    <t>info@jc-niederschach.de</t>
  </si>
  <si>
    <t>Naturparkschule Josef-Hebting-Schule</t>
  </si>
  <si>
    <t>Vöhrenbach</t>
  </si>
  <si>
    <t>sekretariat@jhs-voehrenbach.de</t>
  </si>
  <si>
    <t>Jugendhaus Blumberg</t>
  </si>
  <si>
    <t>sasa.hustic@stadt-blumberg.de</t>
  </si>
  <si>
    <t>Jugendhaus Behla</t>
  </si>
  <si>
    <t>Generationentreff LEBENSWert</t>
  </si>
  <si>
    <t>info@generationentreff-lebenswert.de</t>
  </si>
  <si>
    <t>Jugendmusikschule -- Musikalische Früherziehung</t>
  </si>
  <si>
    <t>Jugendtreff</t>
  </si>
  <si>
    <t>Dmaute.stadt@furtwangen.de</t>
  </si>
  <si>
    <t>Reitsportgemeinschaft Gnadental</t>
  </si>
  <si>
    <t>(Tel. 0771 61723)</t>
  </si>
  <si>
    <t>Reit- und Fahrverein Donaueschingen e.V.</t>
  </si>
  <si>
    <t>vorstand1@ruf-donaueschingen.de</t>
  </si>
  <si>
    <t>Jugendhaus Hüfingen</t>
  </si>
  <si>
    <t>Initiative Gesund leben in St. Georgen</t>
  </si>
  <si>
    <t>(Keine Mail gefunden)</t>
  </si>
  <si>
    <t>Klein &amp; Gelegentlich</t>
  </si>
  <si>
    <t>Blaues Kreuz in Deutschland e.V.</t>
  </si>
  <si>
    <t>b.becker@bluprevent.de</t>
  </si>
  <si>
    <t>Kegel Sport Club Brigachtal</t>
  </si>
  <si>
    <t>Brigachtal</t>
  </si>
  <si>
    <t>Gunnar.tr@web.de</t>
  </si>
  <si>
    <t>Fischereigemeinschaft Gütenbach</t>
  </si>
  <si>
    <t>Gütenbach</t>
  </si>
  <si>
    <t>info@guetenbach.de</t>
  </si>
  <si>
    <t>Sportkegelclub Kegelfreunde Unterkirnach</t>
  </si>
  <si>
    <t>Unterkirnach</t>
  </si>
  <si>
    <t>vorstand.skckegelfreundeunterkirnach@gmx.de</t>
  </si>
  <si>
    <t>Harmonikaverein &amp; Josef-Hebting-Schule</t>
  </si>
  <si>
    <t>marinaguenter@gmx.de</t>
  </si>
  <si>
    <t>VHS Tuningen</t>
  </si>
  <si>
    <t>vhs@villingen-schwenningen.de</t>
  </si>
  <si>
    <t>Feuerwehr Schonach</t>
  </si>
  <si>
    <t>ts@feuerwehr-schonach.de</t>
  </si>
  <si>
    <t>Städtischer Familienpass</t>
  </si>
  <si>
    <t>Stephanie.engesser@braeunlingen.de</t>
  </si>
  <si>
    <t>Frau Engesser</t>
  </si>
  <si>
    <t>Ragavi Anusujanthan</t>
  </si>
  <si>
    <t>Präsenz</t>
  </si>
  <si>
    <t>Kirchstraße 10, 78199 Bräunlingen</t>
  </si>
  <si>
    <t>SBBZ Weiherdammschule</t>
  </si>
  <si>
    <t>Bildung / Beratung</t>
  </si>
  <si>
    <t>info@weiherdammschule-blumberg.de</t>
  </si>
  <si>
    <t>Herr Link?</t>
  </si>
  <si>
    <t>c_slee@lfa.org</t>
  </si>
  <si>
    <t>Sportkegelclub Rot-Weiß Unterkirnach</t>
  </si>
  <si>
    <t>michaelstorzukn@t-online.de</t>
  </si>
  <si>
    <t>Trachtenkapelle Buchenberg</t>
  </si>
  <si>
    <t>tk-buchenberg@t-online.de</t>
  </si>
  <si>
    <t>Turnverein St. Georgen</t>
  </si>
  <si>
    <t>Herr Mengesdorf</t>
  </si>
  <si>
    <t>Mühlstraße 2, 78112 St. Georgen</t>
  </si>
  <si>
    <t>Kreisjugendamt Villingen-Schwenningen</t>
  </si>
  <si>
    <t>H.Rau@lrasbk.de</t>
  </si>
  <si>
    <t>GROSS &amp; REGELMÄSSIG</t>
  </si>
  <si>
    <t>Anzahl: 13</t>
  </si>
  <si>
    <t>GROSS &amp; GELEGENTLICH</t>
  </si>
  <si>
    <t>Anzahl: 14</t>
  </si>
  <si>
    <t>KLEIN &amp; REGELMÄSSIG</t>
  </si>
  <si>
    <t>KLEIN &amp; GELEGENTLICH</t>
  </si>
  <si>
    <t>d_storz@lfa.org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</si>
</sst>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.MM.YYYY"/>
    <numFmt numFmtId="165" formatCode="HH:MM"/>
    <numFmt numFmtId="166" formatCode="[h]:mm"/>
    <numFmt numFmtId="167" formatCode="dd.mm.yyyy"/>
    <numFmt numFmtId="168" formatCode="hh:mm"/>
  </numFmts>
  <fonts count="43">
    <font>
      <sz val="11.0"/>
      <color theme="1"/>
      <name val="Calibri"/>
      <scheme val="minor"/>
    </font>
    <font>
      <b/>
      <sz val="20.0"/>
      <color rgb="FF203764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b/>
      <sz val="11.0"/>
      <color rgb="FF222222"/>
      <name val="Google Sans"/>
    </font>
    <font/>
    <font>
      <color theme="1"/>
      <name val="Arial"/>
    </font>
    <font>
      <sz val="14.0"/>
      <color rgb="FF181818"/>
      <name val="Avenir-lt-w01_35-light1475496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1.0"/>
      <color rgb="FF666565"/>
      <name val="Roboto"/>
    </font>
    <font>
      <sz val="12.0"/>
      <color rgb="FF3E55AA"/>
      <name val="Raleway"/>
    </font>
    <font>
      <sz val="15.0"/>
      <color rgb="FF111111"/>
      <name val="Arial"/>
    </font>
    <font>
      <u/>
      <color rgb="FF0000FF"/>
      <name val="Arial"/>
    </font>
    <font>
      <sz val="13.0"/>
      <color rgb="FF000000"/>
      <name val="&quot;PT Sans&quot;"/>
    </font>
    <font>
      <sz val="11.0"/>
      <color rgb="FF666666"/>
      <name val="&quot;Open Sans&quot;"/>
    </font>
    <font>
      <u/>
      <color rgb="FF0000FF"/>
      <name val="Arial"/>
    </font>
    <font>
      <color theme="1"/>
      <name val="Google Sans Text"/>
    </font>
    <font>
      <sz val="12.0"/>
      <color rgb="FF333333"/>
      <name val="Arial"/>
    </font>
    <font>
      <b/>
      <u/>
      <color rgb="FF0000FF"/>
      <name val="Google Sans Text"/>
    </font>
    <font>
      <b/>
      <u/>
      <color rgb="FF1155CC"/>
      <name val="Google Sans Text"/>
    </font>
    <font>
      <b/>
      <u/>
      <color rgb="FF1155CC"/>
      <name val="Google Sans Text"/>
    </font>
    <font>
      <b/>
      <sz val="12.0"/>
      <color rgb="FF001D35"/>
      <name val="&quot;Google Sans&quot;"/>
    </font>
    <font>
      <sz val="15.0"/>
      <color rgb="FF07080F"/>
      <name val="Lato"/>
    </font>
    <font>
      <b/>
      <u/>
      <color rgb="FF0000FF"/>
      <name val="Arial"/>
    </font>
    <font>
      <sz val="14.0"/>
      <color rgb="FF555555"/>
      <name val="Lato"/>
    </font>
    <font>
      <b/>
      <u/>
      <color rgb="FF1155CC"/>
      <name val="Google Sans Text"/>
    </font>
    <font>
      <sz val="15.0"/>
      <color rgb="FF000000"/>
      <name val="Roboto"/>
    </font>
    <font>
      <u/>
      <color rgb="FF1155CC"/>
      <name val="Google Sans Text"/>
    </font>
    <font>
      <u/>
      <color rgb="FF1155CC"/>
      <name val="Google Sans Text"/>
    </font>
    <font>
      <u/>
      <color rgb="FF0000FF"/>
      <name val="Arial"/>
    </font>
    <font>
      <u/>
      <color rgb="FF0000FF"/>
      <name val="Arial"/>
    </font>
    <font>
      <b/>
      <u/>
      <sz val="11.0"/>
      <color rgb="FF808080"/>
      <name val="&quot;Roboto Condensed&quot;"/>
    </font>
    <font>
      <b/>
      <sz val="14.0"/>
      <color rgb="FF191919"/>
      <name val="Poppins"/>
    </font>
    <font>
      <sz val="11.0"/>
      <color rgb="FF000000"/>
      <name val="Calibri"/>
    </font>
    <font>
      <color rgb="FF000000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4A86E8"/>
        <bgColor rgb="FF4A86E8"/>
      </patternFill>
    </fill>
    <fill>
      <patternFill patternType="solid">
        <fgColor rgb="FFE1E9F7"/>
        <bgColor rgb="FFE1E9F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1F5F7"/>
        <bgColor rgb="FFF1F5F7"/>
      </patternFill>
    </fill>
    <fill>
      <patternFill patternType="solid">
        <fgColor rgb="FFF2F0EA"/>
        <bgColor rgb="FFF2F0EA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203764"/>
        <bgColor rgb="FF203764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2" fillId="3" fontId="3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 vertical="bottom"/>
    </xf>
    <xf borderId="2" fillId="0" fontId="7" numFmtId="0" xfId="0" applyBorder="1" applyFont="1"/>
    <xf borderId="3" fillId="4" fontId="8" numFmtId="0" xfId="0" applyAlignment="1" applyBorder="1" applyFill="1" applyFont="1">
      <alignment vertical="bottom"/>
    </xf>
    <xf borderId="4" fillId="0" fontId="9" numFmtId="0" xfId="0" applyBorder="1" applyFont="1"/>
    <xf borderId="0" fillId="0" fontId="10" numFmtId="0" xfId="0" applyAlignment="1" applyFont="1">
      <alignment vertical="bottom"/>
    </xf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readingOrder="0" vertical="bottom"/>
    </xf>
    <xf borderId="0" fillId="5" fontId="11" numFmtId="0" xfId="0" applyAlignment="1" applyFill="1" applyFont="1">
      <alignment horizontal="center" readingOrder="0"/>
    </xf>
    <xf borderId="0" fillId="0" fontId="12" numFmtId="0" xfId="0" applyAlignment="1" applyFont="1">
      <alignment readingOrder="0"/>
    </xf>
    <xf borderId="2" fillId="6" fontId="10" numFmtId="0" xfId="0" applyAlignment="1" applyBorder="1" applyFill="1" applyFont="1">
      <alignment vertical="bottom"/>
    </xf>
    <xf borderId="2" fillId="7" fontId="10" numFmtId="0" xfId="0" applyAlignment="1" applyBorder="1" applyFill="1" applyFont="1">
      <alignment vertical="bottom"/>
    </xf>
    <xf borderId="0" fillId="6" fontId="10" numFmtId="0" xfId="0" applyAlignment="1" applyFont="1">
      <alignment vertical="bottom"/>
    </xf>
    <xf borderId="2" fillId="0" fontId="13" numFmtId="0" xfId="0" applyAlignment="1" applyBorder="1" applyFont="1">
      <alignment readingOrder="0" vertical="bottom"/>
    </xf>
    <xf borderId="0" fillId="8" fontId="10" numFmtId="0" xfId="0" applyAlignment="1" applyFill="1" applyFont="1">
      <alignment vertical="bottom"/>
    </xf>
    <xf borderId="2" fillId="8" fontId="10" numFmtId="0" xfId="0" applyAlignment="1" applyBorder="1" applyFont="1">
      <alignment vertical="bottom"/>
    </xf>
    <xf borderId="2" fillId="8" fontId="14" numFmtId="0" xfId="0" applyAlignment="1" applyBorder="1" applyFont="1">
      <alignment vertical="bottom"/>
    </xf>
    <xf borderId="2" fillId="0" fontId="15" numFmtId="0" xfId="0" applyAlignment="1" applyBorder="1" applyFont="1">
      <alignment vertical="bottom"/>
    </xf>
    <xf borderId="2" fillId="0" fontId="16" numFmtId="0" xfId="0" applyAlignment="1" applyBorder="1" applyFont="1">
      <alignment readingOrder="0" vertical="bottom"/>
    </xf>
    <xf borderId="0" fillId="0" fontId="10" numFmtId="0" xfId="0" applyAlignment="1" applyFont="1">
      <alignment readingOrder="0" vertical="bottom"/>
    </xf>
    <xf borderId="0" fillId="5" fontId="17" numFmtId="0" xfId="0" applyAlignment="1" applyFont="1">
      <alignment horizontal="left" readingOrder="0"/>
    </xf>
    <xf borderId="0" fillId="5" fontId="18" numFmtId="0" xfId="0" applyAlignment="1" applyFont="1">
      <alignment readingOrder="0"/>
    </xf>
    <xf borderId="0" fillId="8" fontId="19" numFmtId="0" xfId="0" applyAlignment="1" applyFont="1">
      <alignment horizontal="left" readingOrder="0"/>
    </xf>
    <xf borderId="2" fillId="8" fontId="10" numFmtId="0" xfId="0" applyAlignment="1" applyBorder="1" applyFont="1">
      <alignment readingOrder="0" vertical="bottom"/>
    </xf>
    <xf borderId="2" fillId="8" fontId="20" numFmtId="0" xfId="0" applyAlignment="1" applyBorder="1" applyFont="1">
      <alignment readingOrder="0" vertical="bottom"/>
    </xf>
    <xf borderId="0" fillId="9" fontId="21" numFmtId="0" xfId="0" applyAlignment="1" applyFill="1" applyFont="1">
      <alignment readingOrder="0"/>
    </xf>
    <xf borderId="0" fillId="10" fontId="22" numFmtId="0" xfId="0" applyAlignment="1" applyFill="1" applyFont="1">
      <alignment horizontal="left" readingOrder="0"/>
    </xf>
    <xf borderId="0" fillId="0" fontId="23" numFmtId="0" xfId="0" applyAlignment="1" applyFont="1">
      <alignment readingOrder="0" vertical="bottom"/>
    </xf>
    <xf borderId="0" fillId="7" fontId="10" numFmtId="0" xfId="0" applyAlignment="1" applyFont="1">
      <alignment vertical="bottom"/>
    </xf>
    <xf borderId="5" fillId="0" fontId="9" numFmtId="0" xfId="0" applyBorder="1" applyFont="1"/>
    <xf borderId="2" fillId="0" fontId="24" numFmtId="0" xfId="0" applyAlignment="1" applyBorder="1" applyFont="1">
      <alignment vertical="bottom"/>
    </xf>
    <xf borderId="0" fillId="5" fontId="25" numFmtId="0" xfId="0" applyAlignment="1" applyFont="1">
      <alignment readingOrder="0"/>
    </xf>
    <xf borderId="2" fillId="0" fontId="26" numFmtId="0" xfId="0" applyAlignment="1" applyBorder="1" applyFont="1">
      <alignment readingOrder="0" vertical="bottom"/>
    </xf>
    <xf borderId="2" fillId="8" fontId="24" numFmtId="0" xfId="0" applyAlignment="1" applyBorder="1" applyFont="1">
      <alignment vertical="bottom"/>
    </xf>
    <xf borderId="2" fillId="8" fontId="27" numFmtId="0" xfId="0" applyAlignment="1" applyBorder="1" applyFont="1">
      <alignment vertical="bottom"/>
    </xf>
    <xf borderId="2" fillId="0" fontId="28" numFmtId="0" xfId="0" applyAlignment="1" applyBorder="1" applyFont="1">
      <alignment vertical="bottom"/>
    </xf>
    <xf borderId="0" fillId="0" fontId="29" numFmtId="0" xfId="0" applyAlignment="1" applyFont="1">
      <alignment readingOrder="0"/>
    </xf>
    <xf borderId="2" fillId="0" fontId="24" numFmtId="0" xfId="0" applyAlignment="1" applyBorder="1" applyFont="1">
      <alignment readingOrder="0" vertical="bottom"/>
    </xf>
    <xf borderId="2" fillId="8" fontId="24" numFmtId="0" xfId="0" applyAlignment="1" applyBorder="1" applyFont="1">
      <alignment readingOrder="0" vertical="bottom"/>
    </xf>
    <xf borderId="0" fillId="5" fontId="30" numFmtId="0" xfId="0" applyAlignment="1" applyFont="1">
      <alignment readingOrder="0"/>
    </xf>
    <xf borderId="2" fillId="0" fontId="31" numFmtId="0" xfId="0" applyAlignment="1" applyBorder="1" applyFont="1">
      <alignment readingOrder="0" vertical="bottom"/>
    </xf>
    <xf borderId="0" fillId="5" fontId="32" numFmtId="0" xfId="0" applyAlignment="1" applyFont="1">
      <alignment readingOrder="0"/>
    </xf>
    <xf borderId="0" fillId="0" fontId="24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0" fillId="11" fontId="34" numFmtId="0" xfId="0" applyAlignment="1" applyFill="1" applyFont="1">
      <alignment readingOrder="0"/>
    </xf>
    <xf borderId="2" fillId="0" fontId="35" numFmtId="0" xfId="0" applyAlignment="1" applyBorder="1" applyFont="1">
      <alignment vertical="bottom"/>
    </xf>
    <xf borderId="2" fillId="8" fontId="36" numFmtId="0" xfId="0" applyAlignment="1" applyBorder="1" applyFont="1">
      <alignment vertical="bottom"/>
    </xf>
    <xf borderId="2" fillId="0" fontId="37" numFmtId="0" xfId="0" applyAlignment="1" applyBorder="1" applyFont="1">
      <alignment vertical="bottom"/>
    </xf>
    <xf borderId="2" fillId="8" fontId="38" numFmtId="0" xfId="0" applyAlignment="1" applyBorder="1" applyFont="1">
      <alignment readingOrder="0" vertical="bottom"/>
    </xf>
    <xf borderId="0" fillId="5" fontId="39" numFmtId="0" xfId="0" applyAlignment="1" applyFont="1">
      <alignment readingOrder="0"/>
    </xf>
    <xf borderId="0" fillId="12" fontId="40" numFmtId="0" xfId="0" applyAlignment="1" applyFill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/>
    </xf>
    <xf borderId="6" fillId="13" fontId="3" numFmtId="0" xfId="0" applyAlignment="1" applyBorder="1" applyFill="1" applyFont="1">
      <alignment horizontal="center" vertical="center"/>
    </xf>
    <xf borderId="2" fillId="0" fontId="41" numFmtId="0" xfId="0" applyAlignment="1" applyBorder="1" applyFont="1">
      <alignment readingOrder="0"/>
    </xf>
    <xf borderId="2" fillId="0" fontId="4" numFmtId="164" xfId="0" applyAlignment="1" applyBorder="1" applyFont="1" applyNumberForma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166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center" readingOrder="0" vertical="center"/>
    </xf>
    <xf borderId="2" fillId="0" fontId="4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7" numFmtId="167" xfId="0" applyAlignment="1" applyFont="1" applyNumberFormat="1">
      <alignment horizontal="center" readingOrder="0"/>
    </xf>
    <xf borderId="0" fillId="0" fontId="7" numFmtId="168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ms-en.de/" TargetMode="External"/><Relationship Id="rId42" Type="http://schemas.openxmlformats.org/officeDocument/2006/relationships/hyperlink" Target="https://www.dom-clemente-schule.de/" TargetMode="External"/><Relationship Id="rId41" Type="http://schemas.openxmlformats.org/officeDocument/2006/relationships/hyperlink" Target="https://www.schoenwald.net/leben-in-schoenwald/erlebnisse/naturfreibad-schoenwald/" TargetMode="External"/><Relationship Id="rId44" Type="http://schemas.openxmlformats.org/officeDocument/2006/relationships/hyperlink" Target="mailto:naturfreunde-braeunlingen@gmx.de" TargetMode="External"/><Relationship Id="rId43" Type="http://schemas.openxmlformats.org/officeDocument/2006/relationships/hyperlink" Target="https://www.polizei-bw.de/" TargetMode="External"/><Relationship Id="rId46" Type="http://schemas.openxmlformats.org/officeDocument/2006/relationships/hyperlink" Target="https://www.kijumu-donaueschingen.de/" TargetMode="External"/><Relationship Id="rId45" Type="http://schemas.openxmlformats.org/officeDocument/2006/relationships/hyperlink" Target="https://www.naturfreunde.de/ortsgruppe/ortsgruppe-braeunlingen" TargetMode="External"/><Relationship Id="rId107" Type="http://schemas.openxmlformats.org/officeDocument/2006/relationships/hyperlink" Target="https://www.vhs-baar.de/" TargetMode="External"/><Relationship Id="rId106" Type="http://schemas.openxmlformats.org/officeDocument/2006/relationships/hyperlink" Target="https://www.st-georgen.de/adresse/Waldkindergarten-Naturstrolche-Seebauernhoehe-address621" TargetMode="External"/><Relationship Id="rId105" Type="http://schemas.openxmlformats.org/officeDocument/2006/relationships/hyperlink" Target="https://www.st-georgen.de/adresse/Waldkindergarten-Naturstrolche-Seebauernhoehe-address621" TargetMode="External"/><Relationship Id="rId104" Type="http://schemas.openxmlformats.org/officeDocument/2006/relationships/hyperlink" Target="https://www.st-georgen.de/leben-in-st-georgen/buergerschaftliches-engagement/Wirkstatt" TargetMode="External"/><Relationship Id="rId109" Type="http://schemas.openxmlformats.org/officeDocument/2006/relationships/hyperlink" Target="https://www.bad-duerrheim.info/de/Leben/Vereine-Organisationen/Verein,-Organisation?view=publish&amp;item=club&amp;id=1110" TargetMode="External"/><Relationship Id="rId108" Type="http://schemas.openxmlformats.org/officeDocument/2006/relationships/hyperlink" Target="https://www.tuningen.de/leben-wohnen/kinder/jugend-bildung/schulen/volkshochschule" TargetMode="External"/><Relationship Id="rId48" Type="http://schemas.openxmlformats.org/officeDocument/2006/relationships/hyperlink" Target="https://www.niedereschach.de/startseite" TargetMode="External"/><Relationship Id="rId47" Type="http://schemas.openxmlformats.org/officeDocument/2006/relationships/hyperlink" Target="https://www.bruderhausdiakonie.de/regionen/schwarzwald-baar-heuberg/schwarzwald-baar-heuberg-freizeitangebote-/-offene-hilfen" TargetMode="External"/><Relationship Id="rId49" Type="http://schemas.openxmlformats.org/officeDocument/2006/relationships/hyperlink" Target="https://www.drk-triberg.de/" TargetMode="External"/><Relationship Id="rId103" Type="http://schemas.openxmlformats.org/officeDocument/2006/relationships/hyperlink" Target="https://www.bad-duerrheim.info/de/Stadt/Stadtteile/Hochemmingen/Unser-Stadtteil/Kindergarten-Hochemmingen" TargetMode="External"/><Relationship Id="rId102" Type="http://schemas.openxmlformats.org/officeDocument/2006/relationships/hyperlink" Target="https://www.mountainbike-freunde.de/Home/" TargetMode="External"/><Relationship Id="rId101" Type="http://schemas.openxmlformats.org/officeDocument/2006/relationships/hyperlink" Target="https://www.jrk-kv-vs.de/" TargetMode="External"/><Relationship Id="rId100" Type="http://schemas.openxmlformats.org/officeDocument/2006/relationships/hyperlink" Target="https://www.spektrumonline.de/" TargetMode="External"/><Relationship Id="rId31" Type="http://schemas.openxmlformats.org/officeDocument/2006/relationships/hyperlink" Target="http://dksb-vs.de" TargetMode="External"/><Relationship Id="rId30" Type="http://schemas.openxmlformats.org/officeDocument/2006/relationships/hyperlink" Target="http://bregtalschule.de" TargetMode="External"/><Relationship Id="rId33" Type="http://schemas.openxmlformats.org/officeDocument/2006/relationships/hyperlink" Target="https://www.donaueschingen.de/de/Stadt-Buerger/Engagement/Vereine/Verein?view=publish&amp;item=club&amp;id=70" TargetMode="External"/><Relationship Id="rId32" Type="http://schemas.openxmlformats.org/officeDocument/2006/relationships/hyperlink" Target="https://www.donaueschingen.de/de/Stadt-Buerger/Engagement/Vereine/Verein?view=publish&amp;item=club&amp;id=70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https://www.jugendmusikschulen.de/impressum/" TargetMode="External"/><Relationship Id="rId37" Type="http://schemas.openxmlformats.org/officeDocument/2006/relationships/hyperlink" Target="http://goldenbuehlschule.de" TargetMode="External"/><Relationship Id="rId36" Type="http://schemas.openxmlformats.org/officeDocument/2006/relationships/hyperlink" Target="https://ekibw.de/?page_id=241" TargetMode="External"/><Relationship Id="rId39" Type="http://schemas.openxmlformats.org/officeDocument/2006/relationships/hyperlink" Target="https://www.sbbz-schule.de/schule/sport/" TargetMode="External"/><Relationship Id="rId38" Type="http://schemas.openxmlformats.org/officeDocument/2006/relationships/hyperlink" Target="https://tsg-stgeorgen.de" TargetMode="External"/><Relationship Id="rId20" Type="http://schemas.openxmlformats.org/officeDocument/2006/relationships/hyperlink" Target="mailto:info@kiga-schoenwald.de" TargetMode="External"/><Relationship Id="rId22" Type="http://schemas.openxmlformats.org/officeDocument/2006/relationships/hyperlink" Target="http://musikschuleblumberg.de" TargetMode="External"/><Relationship Id="rId21" Type="http://schemas.openxmlformats.org/officeDocument/2006/relationships/hyperlink" Target="https://www.kita-schoenwald.de/" TargetMode="External"/><Relationship Id="rId24" Type="http://schemas.openxmlformats.org/officeDocument/2006/relationships/hyperlink" Target="http://ssc-badduerrheim.de" TargetMode="External"/><Relationship Id="rId23" Type="http://schemas.openxmlformats.org/officeDocument/2006/relationships/hyperlink" Target="mailto:1.vorstand@ssc-badduerrheim.de" TargetMode="External"/><Relationship Id="rId129" Type="http://schemas.openxmlformats.org/officeDocument/2006/relationships/hyperlink" Target="https://www.realschule-am-salinensee.de/index.php/2-uncategorised/104-impressum" TargetMode="External"/><Relationship Id="rId128" Type="http://schemas.openxmlformats.org/officeDocument/2006/relationships/hyperlink" Target="mailto:poststelle@04119441.schule.bwl.de" TargetMode="External"/><Relationship Id="rId127" Type="http://schemas.openxmlformats.org/officeDocument/2006/relationships/hyperlink" Target="https://rsstg.de/" TargetMode="External"/><Relationship Id="rId126" Type="http://schemas.openxmlformats.org/officeDocument/2006/relationships/hyperlink" Target="mailto:sekretariat@rsstg.de" TargetMode="External"/><Relationship Id="rId26" Type="http://schemas.openxmlformats.org/officeDocument/2006/relationships/hyperlink" Target="http://dom-clemente-schule.de" TargetMode="External"/><Relationship Id="rId121" Type="http://schemas.openxmlformats.org/officeDocument/2006/relationships/hyperlink" Target="https://www.bujukai-villingen.de/" TargetMode="External"/><Relationship Id="rId25" Type="http://schemas.openxmlformats.org/officeDocument/2006/relationships/hyperlink" Target="mailto:info@dom-clemente-schule.de" TargetMode="External"/><Relationship Id="rId120" Type="http://schemas.openxmlformats.org/officeDocument/2006/relationships/hyperlink" Target="mailto:sebastien@bujukai-villingen.de" TargetMode="External"/><Relationship Id="rId28" Type="http://schemas.openxmlformats.org/officeDocument/2006/relationships/hyperlink" Target="https://zirkus-confetti.eu/impressum" TargetMode="External"/><Relationship Id="rId27" Type="http://schemas.openxmlformats.org/officeDocument/2006/relationships/hyperlink" Target="http://khs-donaueschingen.de" TargetMode="External"/><Relationship Id="rId125" Type="http://schemas.openxmlformats.org/officeDocument/2006/relationships/hyperlink" Target="https://zsl-bw.de/,Lde/Startseite/beratung/spbs-donaueschingen" TargetMode="External"/><Relationship Id="rId29" Type="http://schemas.openxmlformats.org/officeDocument/2006/relationships/hyperlink" Target="https://www.afs-furtwangen.de/" TargetMode="External"/><Relationship Id="rId124" Type="http://schemas.openxmlformats.org/officeDocument/2006/relationships/hyperlink" Target="https://caritas-sbk.de/kinder-jugend-familie/schulsozialarbeit" TargetMode="External"/><Relationship Id="rId123" Type="http://schemas.openxmlformats.org/officeDocument/2006/relationships/hyperlink" Target="mailto:alina.leibiger@caritas-sbk.de" TargetMode="External"/><Relationship Id="rId122" Type="http://schemas.openxmlformats.org/officeDocument/2006/relationships/hyperlink" Target="https://schwarzwald-gymnasium.de/kontakt/sekretariat.html" TargetMode="External"/><Relationship Id="rId95" Type="http://schemas.openxmlformats.org/officeDocument/2006/relationships/hyperlink" Target="https://www.kath-andereschach.de/soziales/trauer-2/die-regenbogenbruecke-trauergruppe-fuer-kinder-und-jugendliche/" TargetMode="External"/><Relationship Id="rId94" Type="http://schemas.openxmlformats.org/officeDocument/2006/relationships/hyperlink" Target="mailto:michael.kaefer@kath-andereschach.de" TargetMode="External"/><Relationship Id="rId97" Type="http://schemas.openxmlformats.org/officeDocument/2006/relationships/hyperlink" Target="https://www.ffw-furtwangen.de/startseite/" TargetMode="External"/><Relationship Id="rId96" Type="http://schemas.openxmlformats.org/officeDocument/2006/relationships/hyperlink" Target="mailto:jugendfeuerwehr@ffw-furtwangen.de" TargetMode="External"/><Relationship Id="rId11" Type="http://schemas.openxmlformats.org/officeDocument/2006/relationships/hyperlink" Target="http://psychberatungsstelle.de" TargetMode="External"/><Relationship Id="rId99" Type="http://schemas.openxmlformats.org/officeDocument/2006/relationships/hyperlink" Target="https://www.bad-duerrheim.info/de/Leben/Adresse?view=publish&amp;item=publicLocation&amp;id=54" TargetMode="External"/><Relationship Id="rId10" Type="http://schemas.openxmlformats.org/officeDocument/2006/relationships/hyperlink" Target="http://skiclub-villingen.de" TargetMode="External"/><Relationship Id="rId98" Type="http://schemas.openxmlformats.org/officeDocument/2006/relationships/hyperlink" Target="https://www.tuningen.de/leben-freizeit/soziales/helferkreis" TargetMode="External"/><Relationship Id="rId13" Type="http://schemas.openxmlformats.org/officeDocument/2006/relationships/hyperlink" Target="http://fcpeterzell.de" TargetMode="External"/><Relationship Id="rId12" Type="http://schemas.openxmlformats.org/officeDocument/2006/relationships/hyperlink" Target="http://tus-braeunlingen.de" TargetMode="External"/><Relationship Id="rId91" Type="http://schemas.openxmlformats.org/officeDocument/2006/relationships/hyperlink" Target="https://kita-natura.de/braeunlingen/" TargetMode="External"/><Relationship Id="rId90" Type="http://schemas.openxmlformats.org/officeDocument/2006/relationships/hyperlink" Target="https://www.fcwolterdingen.de/junioren" TargetMode="External"/><Relationship Id="rId93" Type="http://schemas.openxmlformats.org/officeDocument/2006/relationships/hyperlink" Target="https://www.cvjm-stgeorgen.de/cvjm_stg/" TargetMode="External"/><Relationship Id="rId92" Type="http://schemas.openxmlformats.org/officeDocument/2006/relationships/hyperlink" Target="mailto:samantha@cvjm-stgeorgen.de" TargetMode="External"/><Relationship Id="rId118" Type="http://schemas.openxmlformats.org/officeDocument/2006/relationships/hyperlink" Target="https://www.sbbz-schule.de/sonderp%C3%A4dagogischer-dienst/" TargetMode="External"/><Relationship Id="rId117" Type="http://schemas.openxmlformats.org/officeDocument/2006/relationships/hyperlink" Target="https://www.schwarzwald-tourismus.info/attraktionen/weiherdammschule-sonderpaedagogisches-beratungszentrum-sbbz-f32b2b353b" TargetMode="External"/><Relationship Id="rId116" Type="http://schemas.openxmlformats.org/officeDocument/2006/relationships/hyperlink" Target="https://www.rupertsbergschule.de/" TargetMode="External"/><Relationship Id="rId115" Type="http://schemas.openxmlformats.org/officeDocument/2006/relationships/hyperlink" Target="mailto:poststelle@04151361.schule.bwl.de" TargetMode="External"/><Relationship Id="rId119" Type="http://schemas.openxmlformats.org/officeDocument/2006/relationships/hyperlink" Target="https://selbsthilfe-burnout.de/" TargetMode="External"/><Relationship Id="rId15" Type="http://schemas.openxmlformats.org/officeDocument/2006/relationships/hyperlink" Target="mailto:vormerkung.kita@niedereschach.de" TargetMode="External"/><Relationship Id="rId110" Type="http://schemas.openxmlformats.org/officeDocument/2006/relationships/hyperlink" Target="mailto:Tinasschatzkiste@gmx.de" TargetMode="External"/><Relationship Id="rId14" Type="http://schemas.openxmlformats.org/officeDocument/2006/relationships/hyperlink" Target="http://fcpfohren.de" TargetMode="External"/><Relationship Id="rId17" Type="http://schemas.openxmlformats.org/officeDocument/2006/relationships/hyperlink" Target="https://www.heinrich-feurstein-schule.de/" TargetMode="External"/><Relationship Id="rId16" Type="http://schemas.openxmlformats.org/officeDocument/2006/relationships/hyperlink" Target="https://www.niedereschach.de/familie_+leben+_+wohnen/kinder+_+jugend" TargetMode="External"/><Relationship Id="rId19" Type="http://schemas.openxmlformats.org/officeDocument/2006/relationships/hyperlink" Target="http://feuerwehr-st-georgen.de" TargetMode="External"/><Relationship Id="rId114" Type="http://schemas.openxmlformats.org/officeDocument/2006/relationships/hyperlink" Target="https://www.st-georgen.de/leben-in-st-georgen/bibliothek" TargetMode="External"/><Relationship Id="rId18" Type="http://schemas.openxmlformats.org/officeDocument/2006/relationships/hyperlink" Target="https://www.kath-andereschach.de/ueber-uns/familienzentren-und-katholischer-kindergarten/familienzentrum-niedereschach/" TargetMode="External"/><Relationship Id="rId113" Type="http://schemas.openxmlformats.org/officeDocument/2006/relationships/hyperlink" Target="https://www.st-georgen.de/leben-in-st-georgen/bibliothek" TargetMode="External"/><Relationship Id="rId112" Type="http://schemas.openxmlformats.org/officeDocument/2006/relationships/hyperlink" Target="https://www.stadt-blumberg.de/leben-wohnen/kinder/jugend-bildung/jugendreferat" TargetMode="External"/><Relationship Id="rId111" Type="http://schemas.openxmlformats.org/officeDocument/2006/relationships/hyperlink" Target="https://www.tinasschatzkiste.de/kindertagespflege" TargetMode="External"/><Relationship Id="rId84" Type="http://schemas.openxmlformats.org/officeDocument/2006/relationships/hyperlink" Target="https://www.musikwerkstatt-vs.de/kontakt/" TargetMode="External"/><Relationship Id="rId83" Type="http://schemas.openxmlformats.org/officeDocument/2006/relationships/hyperlink" Target="https://www.reitverein-schwenningen.de/" TargetMode="External"/><Relationship Id="rId86" Type="http://schemas.openxmlformats.org/officeDocument/2006/relationships/hyperlink" Target="https://www.dauchingen.de/freizeit/naturerfahrungsraum-zaunstetten" TargetMode="External"/><Relationship Id="rId85" Type="http://schemas.openxmlformats.org/officeDocument/2006/relationships/hyperlink" Target="mailto:gemeinde@dauchingen.de" TargetMode="External"/><Relationship Id="rId88" Type="http://schemas.openxmlformats.org/officeDocument/2006/relationships/hyperlink" Target="https://www.tg-weigheim.de/" TargetMode="External"/><Relationship Id="rId87" Type="http://schemas.openxmlformats.org/officeDocument/2006/relationships/hyperlink" Target="mailto:fallerjutta@t-online.de" TargetMode="External"/><Relationship Id="rId89" Type="http://schemas.openxmlformats.org/officeDocument/2006/relationships/hyperlink" Target="https://www.fcwolterdingen.de/junioren" TargetMode="External"/><Relationship Id="rId80" Type="http://schemas.openxmlformats.org/officeDocument/2006/relationships/hyperlink" Target="mailto:anmeldung@jugendzeltplatz-vs.de" TargetMode="External"/><Relationship Id="rId82" Type="http://schemas.openxmlformats.org/officeDocument/2006/relationships/hyperlink" Target="mailto:j.bucher@buerk-kauffmann.de" TargetMode="External"/><Relationship Id="rId81" Type="http://schemas.openxmlformats.org/officeDocument/2006/relationships/hyperlink" Target="https://www.dpsg-villingen.de/" TargetMode="External"/><Relationship Id="rId1" Type="http://schemas.openxmlformats.org/officeDocument/2006/relationships/hyperlink" Target="mailto:info@tv-st-georgen.de" TargetMode="External"/><Relationship Id="rId2" Type="http://schemas.openxmlformats.org/officeDocument/2006/relationships/hyperlink" Target="https://wildwings-future.de/" TargetMode="External"/><Relationship Id="rId3" Type="http://schemas.openxmlformats.org/officeDocument/2006/relationships/hyperlink" Target="http://verein-ago.de" TargetMode="External"/><Relationship Id="rId4" Type="http://schemas.openxmlformats.org/officeDocument/2006/relationships/hyperlink" Target="http://gmsvs.de" TargetMode="External"/><Relationship Id="rId9" Type="http://schemas.openxmlformats.org/officeDocument/2006/relationships/hyperlink" Target="mailto:jochen.menath@skiclub-villingen.de" TargetMode="External"/><Relationship Id="rId5" Type="http://schemas.openxmlformats.org/officeDocument/2006/relationships/hyperlink" Target="http://neckarschule.de/" TargetMode="External"/><Relationship Id="rId6" Type="http://schemas.openxmlformats.org/officeDocument/2006/relationships/hyperlink" Target="mailto:mail@sv1921muehlhausen.de" TargetMode="External"/><Relationship Id="rId7" Type="http://schemas.openxmlformats.org/officeDocument/2006/relationships/hyperlink" Target="https://sv1921muehlhausen.de/" TargetMode="External"/><Relationship Id="rId8" Type="http://schemas.openxmlformats.org/officeDocument/2006/relationships/hyperlink" Target="http://malteser.de" TargetMode="External"/><Relationship Id="rId73" Type="http://schemas.openxmlformats.org/officeDocument/2006/relationships/hyperlink" Target="https://crystalforum.de/" TargetMode="External"/><Relationship Id="rId72" Type="http://schemas.openxmlformats.org/officeDocument/2006/relationships/hyperlink" Target="https://bpe-online.de/selbsthilfegruppe-villingen-schwenningen/" TargetMode="External"/><Relationship Id="rId75" Type="http://schemas.openxmlformats.org/officeDocument/2006/relationships/hyperlink" Target="https://www.tvvillingen.de/" TargetMode="External"/><Relationship Id="rId74" Type="http://schemas.openxmlformats.org/officeDocument/2006/relationships/hyperlink" Target="mailto:info@tvvillingen.de" TargetMode="External"/><Relationship Id="rId77" Type="http://schemas.openxmlformats.org/officeDocument/2006/relationships/hyperlink" Target="https://www.harmonie-schwenningen.de/" TargetMode="External"/><Relationship Id="rId76" Type="http://schemas.openxmlformats.org/officeDocument/2006/relationships/hyperlink" Target="mailto:info@harmonie-schwenningen.de" TargetMode="External"/><Relationship Id="rId79" Type="http://schemas.openxmlformats.org/officeDocument/2006/relationships/hyperlink" Target="https://www.drk-kreisverband-donaueschingen.de/start/wuki-1.html" TargetMode="External"/><Relationship Id="rId78" Type="http://schemas.openxmlformats.org/officeDocument/2006/relationships/hyperlink" Target="https://www.drk-kreisverband-donaueschingen.de/wwwdrk-kreisverband-donaueschingende/start/wuki-1.html" TargetMode="External"/><Relationship Id="rId71" Type="http://schemas.openxmlformats.org/officeDocument/2006/relationships/hyperlink" Target="https://www.bad-duerrheim.info/de/Leben/Vereine-Organisationen/Verein,-Organisation?view=publish&amp;item=club&amp;id=1122" TargetMode="External"/><Relationship Id="rId70" Type="http://schemas.openxmlformats.org/officeDocument/2006/relationships/hyperlink" Target="https://sv-doeggingen.de/" TargetMode="External"/><Relationship Id="rId139" Type="http://schemas.openxmlformats.org/officeDocument/2006/relationships/drawing" Target="../drawings/drawing2.xml"/><Relationship Id="rId138" Type="http://schemas.openxmlformats.org/officeDocument/2006/relationships/hyperlink" Target="https://www.koenigsfeld.de/verein/JuFo-Verein-zur-Foerderung-der-Jugend-von-Weiler-e-V-club3234" TargetMode="External"/><Relationship Id="rId137" Type="http://schemas.openxmlformats.org/officeDocument/2006/relationships/hyperlink" Target="https://www.koenigsfeld.de/verein/JuFo-Verein-zur-Foerderung-der-Jugend-von-Weiler-e-V-club3234" TargetMode="External"/><Relationship Id="rId132" Type="http://schemas.openxmlformats.org/officeDocument/2006/relationships/hyperlink" Target="mailto:info@grauzone-ev.de" TargetMode="External"/><Relationship Id="rId131" Type="http://schemas.openxmlformats.org/officeDocument/2006/relationships/hyperlink" Target="https://www.st-georgen.de/verein/NABU-Naturschutzbund-Deutschland-club1967" TargetMode="External"/><Relationship Id="rId130" Type="http://schemas.openxmlformats.org/officeDocument/2006/relationships/hyperlink" Target="https://nz-schwenningen.de/impressum/" TargetMode="External"/><Relationship Id="rId136" Type="http://schemas.openxmlformats.org/officeDocument/2006/relationships/hyperlink" Target="https://www.aok.de/fk/bw/betriebliche-gesundheit/weitere-inhalte/praxisbeispiele/werma-signaltechnik/" TargetMode="External"/><Relationship Id="rId135" Type="http://schemas.openxmlformats.org/officeDocument/2006/relationships/hyperlink" Target="https://www.lrasbk.de/Beratungsstelle-f%C3%BCr-Eltern-Kinder-und-Jugendliche/" TargetMode="External"/><Relationship Id="rId134" Type="http://schemas.openxmlformats.org/officeDocument/2006/relationships/hyperlink" Target="https://www.diakonie-sbk.de/angebote/gruppen-und-begegnungsangebote/blaues-kreuz" TargetMode="External"/><Relationship Id="rId133" Type="http://schemas.openxmlformats.org/officeDocument/2006/relationships/hyperlink" Target="https://grauzone-ev.de/home" TargetMode="External"/><Relationship Id="rId62" Type="http://schemas.openxmlformats.org/officeDocument/2006/relationships/hyperlink" Target="https://www.villingen-schwenningen.de/bildung-soziales/kinder-jugendliche-familien/mobile-jugendarbeit/" TargetMode="External"/><Relationship Id="rId61" Type="http://schemas.openxmlformats.org/officeDocument/2006/relationships/hyperlink" Target="https://www.drk-vs.de/" TargetMode="External"/><Relationship Id="rId64" Type="http://schemas.openxmlformats.org/officeDocument/2006/relationships/hyperlink" Target="https://www.huefingen.de/bibo" TargetMode="External"/><Relationship Id="rId63" Type="http://schemas.openxmlformats.org/officeDocument/2006/relationships/hyperlink" Target="https://www.kath-bregtal.de/impressum/" TargetMode="External"/><Relationship Id="rId66" Type="http://schemas.openxmlformats.org/officeDocument/2006/relationships/hyperlink" Target="https://badminton-villingen.de/" TargetMode="External"/><Relationship Id="rId65" Type="http://schemas.openxmlformats.org/officeDocument/2006/relationships/hyperlink" Target="https://www.bund-sbh.de/ueber-uns/bund-gruppen-in-unserer-region/bund-ortsverband-koenigsfeld-st-georgen/" TargetMode="External"/><Relationship Id="rId68" Type="http://schemas.openxmlformats.org/officeDocument/2006/relationships/hyperlink" Target="https://www.stadtharmonie.de/" TargetMode="External"/><Relationship Id="rId67" Type="http://schemas.openxmlformats.org/officeDocument/2006/relationships/hyperlink" Target="https://beachsportarena.de/" TargetMode="External"/><Relationship Id="rId60" Type="http://schemas.openxmlformats.org/officeDocument/2006/relationships/hyperlink" Target="https://www.caritas-sbk.de/" TargetMode="External"/><Relationship Id="rId69" Type="http://schemas.openxmlformats.org/officeDocument/2006/relationships/hyperlink" Target="https://www.golfclub-koenigsfeld.de/" TargetMode="External"/><Relationship Id="rId51" Type="http://schemas.openxmlformats.org/officeDocument/2006/relationships/hyperlink" Target="https://tannheim.de/stiftung-deutsche-kinderkrebsnachsorge/" TargetMode="External"/><Relationship Id="rId50" Type="http://schemas.openxmlformats.org/officeDocument/2006/relationships/hyperlink" Target="mailto:info@tannheim.de" TargetMode="External"/><Relationship Id="rId53" Type="http://schemas.openxmlformats.org/officeDocument/2006/relationships/hyperlink" Target="https://www.glonki.de/" TargetMode="External"/><Relationship Id="rId52" Type="http://schemas.openxmlformats.org/officeDocument/2006/relationships/hyperlink" Target="http://furtwangen.de/freizeit-tourismus/vereine/17/bregtalbad-furtwangen-ev" TargetMode="External"/><Relationship Id="rId55" Type="http://schemas.openxmlformats.org/officeDocument/2006/relationships/hyperlink" Target="https://www.schwarzwald-tourismus.info/attraktionen/freibad-solara-bade-und-natursportpark-365e92beac" TargetMode="External"/><Relationship Id="rId54" Type="http://schemas.openxmlformats.org/officeDocument/2006/relationships/hyperlink" Target="mailto:solara.koenigsfeld@gmail.com" TargetMode="External"/><Relationship Id="rId57" Type="http://schemas.openxmlformats.org/officeDocument/2006/relationships/hyperlink" Target="https://www.evangelisch-villingen.de/angebote/jugend/" TargetMode="External"/><Relationship Id="rId56" Type="http://schemas.openxmlformats.org/officeDocument/2006/relationships/hyperlink" Target="mailto:info.villingen@kbz.ekiba.de" TargetMode="External"/><Relationship Id="rId59" Type="http://schemas.openxmlformats.org/officeDocument/2006/relationships/hyperlink" Target="https://crystalforum.de/royal-rangers/" TargetMode="External"/><Relationship Id="rId58" Type="http://schemas.openxmlformats.org/officeDocument/2006/relationships/hyperlink" Target="mailto:rr@gnadenkirche-villingen.d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7.57"/>
    <col customWidth="1" min="3" max="3" width="30.86"/>
    <col customWidth="1" min="4" max="4" width="33.86"/>
    <col customWidth="1" min="5" max="5" width="31.29"/>
    <col customWidth="1" min="6" max="6" width="17.0"/>
    <col customWidth="1" min="7" max="7" width="10.71"/>
    <col customWidth="1" min="8" max="8" width="21.43"/>
    <col customWidth="1" min="9" max="10" width="8.71"/>
    <col customWidth="1" min="11" max="11" width="35.0"/>
    <col customWidth="1" min="12" max="26" width="8.71"/>
  </cols>
  <sheetData>
    <row r="2">
      <c r="B2" s="1" t="s">
        <v>0</v>
      </c>
    </row>
    <row r="4">
      <c r="B4" s="2" t="s">
        <v>1</v>
      </c>
      <c r="E4" s="2" t="s">
        <v>2</v>
      </c>
      <c r="H4" s="2" t="s">
        <v>3</v>
      </c>
      <c r="K4" s="2" t="s">
        <v>4</v>
      </c>
    </row>
    <row r="5">
      <c r="B5" s="3" t="s">
        <v>5</v>
      </c>
      <c r="C5" s="3" t="s">
        <v>6</v>
      </c>
      <c r="E5" s="3" t="s">
        <v>7</v>
      </c>
      <c r="F5" s="3" t="s">
        <v>8</v>
      </c>
      <c r="H5" s="3" t="s">
        <v>9</v>
      </c>
      <c r="I5" s="3" t="s">
        <v>6</v>
      </c>
      <c r="K5" s="3" t="s">
        <v>10</v>
      </c>
      <c r="L5" s="3" t="s">
        <v>6</v>
      </c>
    </row>
    <row r="6">
      <c r="B6" s="4" t="s">
        <v>11</v>
      </c>
      <c r="C6" s="5">
        <f>COUNTIF('Übersicht'!F$5:F$500, "Kontaktiert")</f>
        <v>41</v>
      </c>
      <c r="E6" s="4" t="s">
        <v>12</v>
      </c>
      <c r="F6" s="5">
        <f>COUNTIF('Übersicht'!H$5:H$500, "Andreas Braxmeier") + COUNTIF('Übersicht'!I$5:I$500, "Andreas Braxmeier")</f>
        <v>1</v>
      </c>
      <c r="H6" s="4" t="s">
        <v>13</v>
      </c>
      <c r="I6" s="5">
        <f>COUNTIF('Übersicht'!C$5:C$500, "Villingen-Schwenningen")</f>
        <v>14</v>
      </c>
      <c r="K6" s="4" t="s">
        <v>14</v>
      </c>
      <c r="L6" s="5">
        <f>COUNTIF('Übersicht'!B$5:B$500, "Kinder- &amp; Jugendarbeit")</f>
        <v>10</v>
      </c>
    </row>
    <row r="7">
      <c r="B7" s="4" t="s">
        <v>15</v>
      </c>
      <c r="C7" s="5">
        <f>COUNTIF('Übersicht'!F$5:F$500, "Nachfragen")</f>
        <v>0</v>
      </c>
      <c r="E7" s="4" t="s">
        <v>16</v>
      </c>
      <c r="F7" s="6">
        <v>2.0</v>
      </c>
      <c r="H7" s="4" t="s">
        <v>17</v>
      </c>
      <c r="I7" s="5">
        <f>COUNTIF('Übersicht'!C$5:C$500, "St. Georgen")</f>
        <v>6</v>
      </c>
      <c r="K7" s="4" t="s">
        <v>18</v>
      </c>
      <c r="L7" s="5">
        <f>COUNTIF('Übersicht'!B$5:B$500, "Sportangebot")</f>
        <v>10</v>
      </c>
    </row>
    <row r="8">
      <c r="B8" s="4" t="s">
        <v>19</v>
      </c>
      <c r="C8" s="6">
        <v>3.0</v>
      </c>
      <c r="E8" s="4" t="s">
        <v>20</v>
      </c>
      <c r="F8" s="5">
        <f>COUNTIF('Übersicht'!H$5:H$500, "Sophie Scheffler") + COUNTIF('Übersicht'!I$5:I$500, "Sophie Scheffler")</f>
        <v>4</v>
      </c>
      <c r="H8" s="4" t="s">
        <v>21</v>
      </c>
      <c r="I8" s="5">
        <f>COUNTIF('Übersicht'!C$5:C$500, "Donaueschingen")</f>
        <v>4</v>
      </c>
      <c r="K8" s="4" t="s">
        <v>22</v>
      </c>
      <c r="L8" s="5">
        <f>COUNTIF('Übersicht'!B$5:B$500, "Prävention")</f>
        <v>6</v>
      </c>
    </row>
    <row r="9">
      <c r="B9" s="4" t="s">
        <v>23</v>
      </c>
      <c r="C9" s="6">
        <v>1.0</v>
      </c>
      <c r="E9" s="4" t="s">
        <v>24</v>
      </c>
      <c r="F9" s="6">
        <v>1.0</v>
      </c>
      <c r="H9" s="4" t="s">
        <v>25</v>
      </c>
      <c r="I9" s="5">
        <f>COUNTIF('Übersicht'!C$5:C$500, "Bad Dürrheim")</f>
        <v>3</v>
      </c>
      <c r="K9" s="4" t="s">
        <v>26</v>
      </c>
      <c r="L9" s="5">
        <f>COUNTIF('Übersicht'!B$5:B$500, "Soziales")</f>
        <v>5</v>
      </c>
    </row>
    <row r="10">
      <c r="B10" s="4" t="s">
        <v>27</v>
      </c>
      <c r="C10" s="5">
        <f>COUNTIF('Übersicht'!F$5:F$500, "Durchgeführt")</f>
        <v>4</v>
      </c>
      <c r="E10" s="4" t="s">
        <v>28</v>
      </c>
      <c r="F10" s="5">
        <f>COUNTIF('Übersicht'!H$5:H$500, "Nina Ludwig") + COUNTIF('Übersicht'!I$5:I$500, "Nina Ludwig")</f>
        <v>3</v>
      </c>
      <c r="H10" s="4" t="s">
        <v>29</v>
      </c>
      <c r="I10" s="5">
        <f>COUNTIF('Übersicht'!C$5:C$500, "Triberg")</f>
        <v>3</v>
      </c>
      <c r="K10" s="4" t="s">
        <v>30</v>
      </c>
      <c r="L10" s="5">
        <f>COUNTIF('Übersicht'!B$5:B$500, "Beratung")</f>
        <v>6</v>
      </c>
    </row>
    <row r="11">
      <c r="B11" s="4" t="s">
        <v>31</v>
      </c>
      <c r="C11" s="5">
        <f>COUNTIF('Übersicht'!F$5:F$500, "Abgeschlossen")</f>
        <v>0</v>
      </c>
      <c r="H11" s="4" t="s">
        <v>32</v>
      </c>
      <c r="I11" s="5">
        <f>COUNTIF('Übersicht'!C$5:C$500, "Hüfingen")</f>
        <v>3</v>
      </c>
      <c r="K11" s="4" t="s">
        <v>33</v>
      </c>
      <c r="L11" s="5">
        <f>COUNTIF('Übersicht'!B$5:B$500, "BOS")</f>
        <v>4</v>
      </c>
    </row>
    <row r="12">
      <c r="B12" s="4" t="s">
        <v>34</v>
      </c>
      <c r="C12" s="5">
        <f>COUNTIF('Übersicht'!F$5:F$500, "Absage")</f>
        <v>1</v>
      </c>
      <c r="H12" s="4" t="s">
        <v>35</v>
      </c>
      <c r="I12" s="5">
        <f>COUNTIF('Übersicht'!C$5:C$500, "Schonach")</f>
        <v>2</v>
      </c>
      <c r="K12" s="4" t="s">
        <v>36</v>
      </c>
      <c r="L12" s="5">
        <f>COUNTIF('Übersicht'!B$5:B$500, "Musik")</f>
        <v>3</v>
      </c>
    </row>
    <row r="16">
      <c r="B16" s="7"/>
    </row>
    <row r="18">
      <c r="B18" s="8" t="s">
        <v>37</v>
      </c>
    </row>
    <row r="19">
      <c r="B19" s="9" t="s">
        <v>38</v>
      </c>
      <c r="C19" s="9" t="s">
        <v>39</v>
      </c>
      <c r="D19" s="9" t="s">
        <v>40</v>
      </c>
      <c r="E19" s="9" t="s">
        <v>41</v>
      </c>
    </row>
    <row r="20" ht="15.75" customHeight="1">
      <c r="B20" s="10" t="s">
        <v>42</v>
      </c>
      <c r="C20" s="10" t="s">
        <v>43</v>
      </c>
      <c r="D20" s="10" t="s">
        <v>44</v>
      </c>
      <c r="E20" s="10" t="s">
        <v>45</v>
      </c>
    </row>
    <row r="21" ht="15.75" customHeight="1">
      <c r="B21" s="10" t="s">
        <v>46</v>
      </c>
      <c r="C21" s="10" t="s">
        <v>47</v>
      </c>
      <c r="D21" s="10" t="s">
        <v>48</v>
      </c>
      <c r="E21" s="10" t="s">
        <v>49</v>
      </c>
    </row>
    <row r="22" ht="15.75" customHeight="1">
      <c r="B22" s="10" t="s">
        <v>50</v>
      </c>
      <c r="C22" s="10" t="s">
        <v>51</v>
      </c>
      <c r="D22" s="10" t="s">
        <v>52</v>
      </c>
      <c r="E22" s="10" t="s">
        <v>53</v>
      </c>
    </row>
    <row r="23" ht="15.75" customHeight="1">
      <c r="B23" s="10" t="s">
        <v>54</v>
      </c>
      <c r="C23" s="10" t="s">
        <v>55</v>
      </c>
      <c r="D23" s="10" t="s">
        <v>56</v>
      </c>
      <c r="E23" s="10" t="s">
        <v>57</v>
      </c>
    </row>
    <row r="24" ht="15.75" customHeight="1">
      <c r="B24" s="10" t="s">
        <v>58</v>
      </c>
      <c r="C24" s="11" t="s">
        <v>59</v>
      </c>
      <c r="D24" s="4" t="s">
        <v>60</v>
      </c>
      <c r="E24" s="10" t="s">
        <v>61</v>
      </c>
    </row>
    <row r="25" ht="15.75" customHeight="1">
      <c r="B25" s="10" t="s">
        <v>62</v>
      </c>
      <c r="C25" s="12" t="s">
        <v>63</v>
      </c>
      <c r="D25" s="4" t="s">
        <v>64</v>
      </c>
      <c r="E25" s="10" t="s">
        <v>61</v>
      </c>
    </row>
    <row r="26" ht="15.75" customHeight="1">
      <c r="B26" s="10" t="s">
        <v>65</v>
      </c>
      <c r="C26" s="13"/>
      <c r="D26" s="13"/>
      <c r="E26" s="10"/>
    </row>
    <row r="27" ht="15.75" customHeight="1">
      <c r="B27" s="10" t="s">
        <v>66</v>
      </c>
      <c r="C27" s="13"/>
      <c r="D27" s="13"/>
      <c r="E27" s="13"/>
    </row>
    <row r="28" ht="15.75" customHeight="1">
      <c r="B28" s="10" t="s">
        <v>67</v>
      </c>
      <c r="C28" s="13"/>
      <c r="D28" s="13"/>
      <c r="E28" s="13"/>
    </row>
    <row r="29" ht="15.75" customHeight="1">
      <c r="B29" s="10" t="s">
        <v>68</v>
      </c>
      <c r="C29" s="13"/>
      <c r="D29" s="13"/>
      <c r="E29" s="13"/>
    </row>
    <row r="30" ht="15.75" customHeight="1">
      <c r="B30" s="10" t="s">
        <v>69</v>
      </c>
      <c r="C30" s="13"/>
      <c r="D30" s="13"/>
      <c r="E30" s="13"/>
    </row>
    <row r="31" ht="15.75" customHeight="1">
      <c r="B31" s="10" t="s">
        <v>70</v>
      </c>
      <c r="C31" s="13"/>
      <c r="D31" s="13"/>
      <c r="E31" s="1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B4:C4"/>
    <mergeCell ref="E4:F4"/>
    <mergeCell ref="H4:I4"/>
    <mergeCell ref="K4:L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0"/>
    <col customWidth="1" min="2" max="2" width="21.0"/>
    <col customWidth="1" min="3" max="3" width="34.71"/>
    <col customWidth="1" min="4" max="4" width="48.43"/>
    <col customWidth="1" min="5" max="5" width="44.0"/>
    <col customWidth="1" min="6" max="6" width="23.57"/>
    <col customWidth="1" min="7" max="7" width="32.14"/>
    <col customWidth="1" min="8" max="8" width="18.29"/>
    <col customWidth="1" min="9" max="9" width="20.57"/>
    <col customWidth="1" min="10" max="11" width="6.57"/>
  </cols>
  <sheetData>
    <row r="1">
      <c r="A1" s="14" t="s">
        <v>71</v>
      </c>
      <c r="B1" s="15"/>
      <c r="C1" s="15"/>
      <c r="D1" s="15"/>
      <c r="E1" s="15"/>
      <c r="F1" s="15"/>
      <c r="G1" s="15"/>
      <c r="H1" s="15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>
      <c r="A2" s="17" t="s">
        <v>72</v>
      </c>
      <c r="B2" s="17" t="s">
        <v>73</v>
      </c>
      <c r="C2" s="17" t="s">
        <v>74</v>
      </c>
      <c r="D2" s="17" t="s">
        <v>75</v>
      </c>
      <c r="E2" s="17" t="s">
        <v>76</v>
      </c>
      <c r="F2" s="17" t="s">
        <v>77</v>
      </c>
      <c r="G2" s="17" t="s">
        <v>78</v>
      </c>
      <c r="H2" s="17" t="s">
        <v>79</v>
      </c>
      <c r="I2" s="18" t="s">
        <v>80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>
      <c r="A3" s="17" t="s">
        <v>81</v>
      </c>
      <c r="B3" s="17" t="s">
        <v>82</v>
      </c>
      <c r="C3" s="17" t="s">
        <v>17</v>
      </c>
      <c r="D3" s="19" t="s">
        <v>83</v>
      </c>
      <c r="E3" s="18" t="s">
        <v>84</v>
      </c>
      <c r="F3" s="19" t="s">
        <v>85</v>
      </c>
      <c r="G3" s="20" t="s">
        <v>86</v>
      </c>
      <c r="H3" s="21"/>
      <c r="I3" s="22"/>
      <c r="J3" s="16"/>
      <c r="K3" s="23"/>
      <c r="L3" s="16" t="s">
        <v>87</v>
      </c>
      <c r="M3" s="16"/>
      <c r="N3" s="16"/>
      <c r="O3" s="16"/>
      <c r="P3" s="16"/>
      <c r="Q3" s="16"/>
      <c r="R3" s="16"/>
      <c r="S3" s="16"/>
      <c r="T3" s="16"/>
    </row>
    <row r="4">
      <c r="A4" s="17" t="s">
        <v>88</v>
      </c>
      <c r="B4" s="17" t="s">
        <v>82</v>
      </c>
      <c r="C4" s="17" t="s">
        <v>89</v>
      </c>
      <c r="D4" s="17" t="s">
        <v>90</v>
      </c>
      <c r="E4" s="18" t="s">
        <v>91</v>
      </c>
      <c r="F4" s="18" t="s">
        <v>92</v>
      </c>
      <c r="G4" s="24" t="s">
        <v>93</v>
      </c>
      <c r="H4" s="17"/>
      <c r="I4" s="22"/>
      <c r="J4" s="16"/>
      <c r="K4" s="25"/>
      <c r="L4" s="16" t="s">
        <v>94</v>
      </c>
      <c r="M4" s="16"/>
      <c r="N4" s="16"/>
      <c r="O4" s="16"/>
      <c r="P4" s="16"/>
      <c r="Q4" s="16"/>
      <c r="R4" s="16"/>
      <c r="S4" s="16"/>
      <c r="T4" s="16"/>
    </row>
    <row r="5">
      <c r="A5" s="26" t="s">
        <v>95</v>
      </c>
      <c r="B5" s="26" t="s">
        <v>22</v>
      </c>
      <c r="C5" s="26" t="s">
        <v>21</v>
      </c>
      <c r="D5" s="26" t="s">
        <v>96</v>
      </c>
      <c r="E5" s="26" t="s">
        <v>97</v>
      </c>
      <c r="F5" s="26" t="s">
        <v>98</v>
      </c>
      <c r="G5" s="27" t="s">
        <v>99</v>
      </c>
      <c r="H5" s="21"/>
      <c r="I5" s="21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>
      <c r="A6" s="17" t="s">
        <v>100</v>
      </c>
      <c r="B6" s="17" t="s">
        <v>101</v>
      </c>
      <c r="C6" s="17" t="s">
        <v>89</v>
      </c>
      <c r="D6" s="17" t="s">
        <v>102</v>
      </c>
      <c r="E6" s="18" t="s">
        <v>103</v>
      </c>
      <c r="F6" s="18" t="s">
        <v>104</v>
      </c>
      <c r="G6" s="28" t="s">
        <v>105</v>
      </c>
      <c r="H6" s="21"/>
      <c r="I6" s="21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>
      <c r="A7" s="26" t="s">
        <v>106</v>
      </c>
      <c r="B7" s="26" t="s">
        <v>101</v>
      </c>
      <c r="C7" s="26" t="s">
        <v>89</v>
      </c>
      <c r="D7" s="26" t="s">
        <v>107</v>
      </c>
      <c r="E7" s="26" t="s">
        <v>108</v>
      </c>
      <c r="F7" s="26" t="s">
        <v>109</v>
      </c>
      <c r="G7" s="27" t="s">
        <v>110</v>
      </c>
      <c r="H7" s="21"/>
      <c r="I7" s="21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>
      <c r="A8" s="17" t="s">
        <v>111</v>
      </c>
      <c r="B8" s="17" t="s">
        <v>112</v>
      </c>
      <c r="C8" s="17" t="s">
        <v>113</v>
      </c>
      <c r="D8" s="18" t="s">
        <v>114</v>
      </c>
      <c r="E8" s="29" t="s">
        <v>115</v>
      </c>
      <c r="F8" s="17" t="s">
        <v>116</v>
      </c>
      <c r="G8" s="24" t="s">
        <v>117</v>
      </c>
      <c r="H8" s="17"/>
      <c r="I8" s="22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>
      <c r="A9" s="17" t="s">
        <v>118</v>
      </c>
      <c r="B9" s="17" t="s">
        <v>119</v>
      </c>
      <c r="C9" s="17" t="s">
        <v>120</v>
      </c>
      <c r="D9" s="17" t="s">
        <v>121</v>
      </c>
      <c r="E9" s="18" t="s">
        <v>122</v>
      </c>
      <c r="F9" s="17" t="s">
        <v>123</v>
      </c>
      <c r="G9" s="28" t="s">
        <v>124</v>
      </c>
      <c r="H9" s="21"/>
      <c r="I9" s="21"/>
      <c r="J9" s="16"/>
      <c r="K9" s="30"/>
      <c r="L9" s="16"/>
      <c r="M9" s="16"/>
      <c r="N9" s="16"/>
      <c r="O9" s="16"/>
      <c r="P9" s="16"/>
      <c r="Q9" s="16"/>
      <c r="R9" s="16"/>
      <c r="S9" s="16"/>
      <c r="T9" s="16"/>
    </row>
    <row r="10">
      <c r="A10" s="17" t="s">
        <v>125</v>
      </c>
      <c r="B10" s="17" t="s">
        <v>126</v>
      </c>
      <c r="C10" s="17" t="s">
        <v>127</v>
      </c>
      <c r="D10" s="18" t="s">
        <v>128</v>
      </c>
      <c r="E10" s="29" t="s">
        <v>129</v>
      </c>
      <c r="F10" s="17" t="s">
        <v>130</v>
      </c>
      <c r="G10" s="28" t="s">
        <v>131</v>
      </c>
      <c r="H10" s="17"/>
      <c r="I10" s="22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>
      <c r="A11" s="26" t="s">
        <v>132</v>
      </c>
      <c r="B11" s="26" t="s">
        <v>30</v>
      </c>
      <c r="C11" s="26" t="s">
        <v>133</v>
      </c>
      <c r="D11" s="26" t="s">
        <v>134</v>
      </c>
      <c r="E11" s="26" t="s">
        <v>135</v>
      </c>
      <c r="F11" s="26" t="s">
        <v>136</v>
      </c>
      <c r="G11" s="27" t="s">
        <v>137</v>
      </c>
      <c r="H11" s="21"/>
      <c r="I11" s="21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>
      <c r="A12" s="17" t="s">
        <v>138</v>
      </c>
      <c r="B12" s="17" t="s">
        <v>82</v>
      </c>
      <c r="C12" s="17" t="s">
        <v>139</v>
      </c>
      <c r="D12" s="18" t="s">
        <v>140</v>
      </c>
      <c r="E12" s="18" t="s">
        <v>141</v>
      </c>
      <c r="F12" s="17" t="s">
        <v>142</v>
      </c>
      <c r="G12" s="28" t="s">
        <v>143</v>
      </c>
      <c r="H12" s="17"/>
      <c r="I12" s="22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>
      <c r="A13" s="17" t="s">
        <v>144</v>
      </c>
      <c r="B13" s="17" t="s">
        <v>82</v>
      </c>
      <c r="C13" s="17" t="s">
        <v>17</v>
      </c>
      <c r="D13" s="17" t="s">
        <v>90</v>
      </c>
      <c r="E13" s="18" t="s">
        <v>145</v>
      </c>
      <c r="F13" s="17" t="s">
        <v>146</v>
      </c>
      <c r="G13" s="28" t="s">
        <v>147</v>
      </c>
      <c r="H13" s="21"/>
      <c r="I13" s="22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>
      <c r="A14" s="17" t="s">
        <v>148</v>
      </c>
      <c r="B14" s="17" t="s">
        <v>82</v>
      </c>
      <c r="C14" s="17" t="s">
        <v>21</v>
      </c>
      <c r="D14" s="17" t="s">
        <v>90</v>
      </c>
      <c r="E14" s="18" t="s">
        <v>149</v>
      </c>
      <c r="F14" s="17" t="s">
        <v>150</v>
      </c>
      <c r="G14" s="28" t="s">
        <v>151</v>
      </c>
      <c r="H14" s="21"/>
      <c r="I14" s="22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>
      <c r="A15" s="17" t="s">
        <v>152</v>
      </c>
      <c r="B15" s="17" t="s">
        <v>101</v>
      </c>
      <c r="C15" s="17" t="s">
        <v>153</v>
      </c>
      <c r="D15" s="31" t="s">
        <v>154</v>
      </c>
      <c r="E15" s="29" t="s">
        <v>155</v>
      </c>
      <c r="F15" s="18" t="s">
        <v>156</v>
      </c>
      <c r="G15" s="28" t="s">
        <v>157</v>
      </c>
      <c r="H15" s="17"/>
      <c r="I15" s="22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>
      <c r="A16" s="26" t="s">
        <v>158</v>
      </c>
      <c r="B16" s="26" t="s">
        <v>101</v>
      </c>
      <c r="C16" s="26" t="s">
        <v>21</v>
      </c>
      <c r="D16" s="26" t="s">
        <v>107</v>
      </c>
      <c r="E16" s="26" t="s">
        <v>159</v>
      </c>
      <c r="F16" s="26" t="s">
        <v>160</v>
      </c>
      <c r="G16" s="27" t="s">
        <v>161</v>
      </c>
      <c r="H16" s="21"/>
      <c r="I16" s="21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>
      <c r="A17" s="17" t="s">
        <v>162</v>
      </c>
      <c r="B17" s="17" t="s">
        <v>163</v>
      </c>
      <c r="C17" s="17" t="s">
        <v>153</v>
      </c>
      <c r="D17" s="18" t="s">
        <v>164</v>
      </c>
      <c r="E17" s="18" t="s">
        <v>165</v>
      </c>
      <c r="F17" s="17" t="s">
        <v>166</v>
      </c>
      <c r="G17" s="28" t="s">
        <v>167</v>
      </c>
      <c r="H17" s="17"/>
      <c r="I17" s="22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>
      <c r="A18" s="17" t="s">
        <v>168</v>
      </c>
      <c r="B18" s="17" t="s">
        <v>33</v>
      </c>
      <c r="C18" s="17" t="s">
        <v>17</v>
      </c>
      <c r="D18" s="17" t="s">
        <v>169</v>
      </c>
      <c r="E18" s="18" t="s">
        <v>170</v>
      </c>
      <c r="F18" s="17" t="s">
        <v>171</v>
      </c>
      <c r="G18" s="28" t="s">
        <v>172</v>
      </c>
      <c r="H18" s="21"/>
      <c r="I18" s="21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>
      <c r="A19" s="17" t="s">
        <v>173</v>
      </c>
      <c r="B19" s="17" t="s">
        <v>163</v>
      </c>
      <c r="C19" s="17" t="s">
        <v>174</v>
      </c>
      <c r="D19" s="18" t="s">
        <v>175</v>
      </c>
      <c r="E19" s="29" t="s">
        <v>176</v>
      </c>
      <c r="F19" s="17" t="s">
        <v>177</v>
      </c>
      <c r="G19" s="28" t="s">
        <v>178</v>
      </c>
      <c r="H19" s="17"/>
      <c r="I19" s="2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>
      <c r="A20" s="17" t="s">
        <v>179</v>
      </c>
      <c r="B20" s="17" t="s">
        <v>36</v>
      </c>
      <c r="C20" s="17" t="s">
        <v>180</v>
      </c>
      <c r="D20" s="18" t="s">
        <v>181</v>
      </c>
      <c r="E20" s="18" t="s">
        <v>182</v>
      </c>
      <c r="F20" s="17" t="s">
        <v>183</v>
      </c>
      <c r="G20" s="28" t="s">
        <v>184</v>
      </c>
      <c r="H20" s="17"/>
      <c r="I20" s="2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7" t="s">
        <v>185</v>
      </c>
      <c r="B21" s="17" t="s">
        <v>82</v>
      </c>
      <c r="C21" s="17" t="s">
        <v>25</v>
      </c>
      <c r="D21" s="18" t="s">
        <v>186</v>
      </c>
      <c r="E21" s="29" t="s">
        <v>187</v>
      </c>
      <c r="F21" s="32" t="s">
        <v>188</v>
      </c>
      <c r="G21" s="28" t="s">
        <v>189</v>
      </c>
      <c r="H21" s="17"/>
      <c r="I21" s="22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>
      <c r="A22" s="17" t="s">
        <v>190</v>
      </c>
      <c r="B22" s="17" t="s">
        <v>101</v>
      </c>
      <c r="C22" s="17" t="s">
        <v>35</v>
      </c>
      <c r="D22" s="18" t="s">
        <v>191</v>
      </c>
      <c r="E22" s="29" t="s">
        <v>192</v>
      </c>
      <c r="F22" s="17" t="s">
        <v>193</v>
      </c>
      <c r="G22" s="28" t="s">
        <v>194</v>
      </c>
      <c r="H22" s="17"/>
      <c r="I22" s="22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26" t="s">
        <v>195</v>
      </c>
      <c r="B23" s="26" t="s">
        <v>101</v>
      </c>
      <c r="C23" s="26" t="s">
        <v>21</v>
      </c>
      <c r="D23" s="26" t="s">
        <v>102</v>
      </c>
      <c r="E23" s="26" t="s">
        <v>196</v>
      </c>
      <c r="F23" s="26" t="s">
        <v>197</v>
      </c>
      <c r="G23" s="27" t="s">
        <v>198</v>
      </c>
      <c r="H23" s="21"/>
      <c r="I23" s="21"/>
      <c r="J23" s="30" t="s">
        <v>199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>
      <c r="A24" s="26" t="s">
        <v>200</v>
      </c>
      <c r="B24" s="26" t="s">
        <v>201</v>
      </c>
      <c r="C24" s="26" t="s">
        <v>127</v>
      </c>
      <c r="D24" s="33" t="s">
        <v>202</v>
      </c>
      <c r="E24" s="26" t="s">
        <v>203</v>
      </c>
      <c r="F24" s="34" t="s">
        <v>204</v>
      </c>
      <c r="G24" s="35" t="s">
        <v>205</v>
      </c>
      <c r="H24" s="21"/>
      <c r="I24" s="22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>
      <c r="A25" s="17" t="s">
        <v>206</v>
      </c>
      <c r="B25" s="17" t="s">
        <v>101</v>
      </c>
      <c r="C25" s="17" t="s">
        <v>207</v>
      </c>
      <c r="D25" s="18" t="s">
        <v>107</v>
      </c>
      <c r="E25" s="18" t="s">
        <v>208</v>
      </c>
      <c r="F25" s="17" t="s">
        <v>209</v>
      </c>
      <c r="G25" s="28" t="s">
        <v>210</v>
      </c>
      <c r="H25" s="17"/>
      <c r="I25" s="22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>
      <c r="A26" s="26" t="s">
        <v>211</v>
      </c>
      <c r="B26" s="26" t="s">
        <v>101</v>
      </c>
      <c r="C26" s="26" t="s">
        <v>207</v>
      </c>
      <c r="D26" s="26" t="s">
        <v>212</v>
      </c>
      <c r="E26" s="26" t="s">
        <v>213</v>
      </c>
      <c r="F26" s="26" t="s">
        <v>214</v>
      </c>
      <c r="G26" s="27" t="s">
        <v>215</v>
      </c>
      <c r="H26" s="21"/>
      <c r="I26" s="21"/>
      <c r="J26" s="30" t="s">
        <v>199</v>
      </c>
      <c r="K26" s="16"/>
      <c r="L26" s="16"/>
      <c r="M26" s="16"/>
      <c r="N26" s="16"/>
      <c r="O26" s="16"/>
      <c r="P26" s="30" t="s">
        <v>216</v>
      </c>
      <c r="Q26" s="16"/>
      <c r="R26" s="16"/>
      <c r="S26" s="16"/>
      <c r="T26" s="16"/>
    </row>
    <row r="27">
      <c r="A27" s="26" t="s">
        <v>217</v>
      </c>
      <c r="B27" s="26" t="s">
        <v>30</v>
      </c>
      <c r="C27" s="26" t="s">
        <v>89</v>
      </c>
      <c r="D27" s="26" t="s">
        <v>90</v>
      </c>
      <c r="E27" s="34" t="s">
        <v>218</v>
      </c>
      <c r="F27" s="26" t="s">
        <v>219</v>
      </c>
      <c r="G27" s="27" t="s">
        <v>220</v>
      </c>
      <c r="H27" s="21"/>
      <c r="I27" s="22"/>
      <c r="J27" s="30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>
      <c r="A28" s="17" t="s">
        <v>221</v>
      </c>
      <c r="B28" s="17" t="s">
        <v>33</v>
      </c>
      <c r="C28" s="17" t="s">
        <v>21</v>
      </c>
      <c r="D28" s="36" t="s">
        <v>222</v>
      </c>
      <c r="E28" s="29" t="s">
        <v>223</v>
      </c>
      <c r="F28" s="17" t="s">
        <v>224</v>
      </c>
      <c r="G28" s="28" t="s">
        <v>225</v>
      </c>
      <c r="H28" s="17"/>
      <c r="I28" s="22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>
      <c r="A29" s="17" t="s">
        <v>226</v>
      </c>
      <c r="B29" s="17" t="s">
        <v>36</v>
      </c>
      <c r="C29" s="17" t="s">
        <v>17</v>
      </c>
      <c r="D29" s="18" t="s">
        <v>227</v>
      </c>
      <c r="E29" s="18" t="s">
        <v>228</v>
      </c>
      <c r="F29" s="17" t="s">
        <v>229</v>
      </c>
      <c r="G29" s="24" t="s">
        <v>230</v>
      </c>
      <c r="H29" s="17"/>
      <c r="I29" s="22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>
      <c r="A30" s="17" t="s">
        <v>231</v>
      </c>
      <c r="B30" s="17" t="s">
        <v>232</v>
      </c>
      <c r="C30" s="17" t="s">
        <v>233</v>
      </c>
      <c r="D30" s="37" t="s">
        <v>234</v>
      </c>
      <c r="E30" s="29" t="s">
        <v>235</v>
      </c>
      <c r="F30" s="17" t="s">
        <v>236</v>
      </c>
      <c r="G30" s="24" t="s">
        <v>237</v>
      </c>
      <c r="H30" s="17"/>
      <c r="I30" s="22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>
      <c r="A31" s="17" t="s">
        <v>238</v>
      </c>
      <c r="B31" s="17" t="s">
        <v>101</v>
      </c>
      <c r="C31" s="17" t="s">
        <v>127</v>
      </c>
      <c r="D31" s="18" t="s">
        <v>227</v>
      </c>
      <c r="E31" s="18" t="s">
        <v>239</v>
      </c>
      <c r="F31" s="17" t="s">
        <v>240</v>
      </c>
      <c r="G31" s="28" t="s">
        <v>241</v>
      </c>
      <c r="H31" s="17"/>
      <c r="I31" s="22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>
      <c r="A32" s="30" t="s">
        <v>242</v>
      </c>
      <c r="B32" s="30" t="s">
        <v>101</v>
      </c>
      <c r="C32" s="30" t="s">
        <v>17</v>
      </c>
      <c r="D32" s="16"/>
      <c r="E32" s="30" t="s">
        <v>243</v>
      </c>
      <c r="F32" s="16"/>
      <c r="G32" s="38" t="s">
        <v>244</v>
      </c>
      <c r="H32" s="23"/>
      <c r="I32" s="39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>
      <c r="A33" s="14" t="s">
        <v>245</v>
      </c>
      <c r="B33" s="15"/>
      <c r="C33" s="15"/>
      <c r="D33" s="15"/>
      <c r="E33" s="15"/>
      <c r="F33" s="15"/>
      <c r="G33" s="15"/>
      <c r="H33" s="15"/>
      <c r="I33" s="4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>
      <c r="A34" s="17" t="s">
        <v>72</v>
      </c>
      <c r="B34" s="17" t="s">
        <v>73</v>
      </c>
      <c r="C34" s="17" t="s">
        <v>74</v>
      </c>
      <c r="D34" s="41" t="s">
        <v>75</v>
      </c>
      <c r="E34" s="17" t="s">
        <v>76</v>
      </c>
      <c r="F34" s="17" t="s">
        <v>77</v>
      </c>
      <c r="G34" s="17" t="s">
        <v>78</v>
      </c>
      <c r="H34" s="17" t="s">
        <v>79</v>
      </c>
      <c r="I34" s="18" t="s">
        <v>80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>
      <c r="A35" s="17" t="s">
        <v>246</v>
      </c>
      <c r="B35" s="17" t="s">
        <v>247</v>
      </c>
      <c r="C35" s="17" t="s">
        <v>17</v>
      </c>
      <c r="D35" s="42" t="s">
        <v>227</v>
      </c>
      <c r="E35" s="18" t="s">
        <v>248</v>
      </c>
      <c r="F35" s="17" t="s">
        <v>249</v>
      </c>
      <c r="G35" s="43" t="s">
        <v>250</v>
      </c>
      <c r="H35" s="21"/>
      <c r="I35" s="22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>
      <c r="A36" s="26" t="s">
        <v>251</v>
      </c>
      <c r="B36" s="26" t="s">
        <v>252</v>
      </c>
      <c r="C36" s="26" t="s">
        <v>153</v>
      </c>
      <c r="D36" s="44" t="s">
        <v>253</v>
      </c>
      <c r="E36" s="26" t="s">
        <v>254</v>
      </c>
      <c r="F36" s="26" t="s">
        <v>255</v>
      </c>
      <c r="G36" s="45" t="s">
        <v>256</v>
      </c>
      <c r="H36" s="21"/>
      <c r="I36" s="21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>
      <c r="A37" s="17" t="s">
        <v>257</v>
      </c>
      <c r="B37" s="17" t="s">
        <v>258</v>
      </c>
      <c r="C37" s="17" t="s">
        <v>174</v>
      </c>
      <c r="D37" s="41" t="s">
        <v>259</v>
      </c>
      <c r="E37" s="18" t="s">
        <v>260</v>
      </c>
      <c r="F37" s="17" t="s">
        <v>261</v>
      </c>
      <c r="G37" s="46" t="s">
        <v>178</v>
      </c>
      <c r="H37" s="21"/>
      <c r="I37" s="21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>
      <c r="A38" s="17" t="s">
        <v>262</v>
      </c>
      <c r="B38" s="17" t="s">
        <v>247</v>
      </c>
      <c r="C38" s="17" t="s">
        <v>35</v>
      </c>
      <c r="D38" s="41" t="s">
        <v>263</v>
      </c>
      <c r="E38" s="18" t="s">
        <v>264</v>
      </c>
      <c r="F38" s="17" t="s">
        <v>193</v>
      </c>
      <c r="G38" s="46" t="s">
        <v>265</v>
      </c>
      <c r="H38" s="21"/>
      <c r="I38" s="21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>
      <c r="A39" s="26" t="s">
        <v>266</v>
      </c>
      <c r="B39" s="26" t="s">
        <v>22</v>
      </c>
      <c r="C39" s="26" t="s">
        <v>29</v>
      </c>
      <c r="D39" s="44" t="s">
        <v>267</v>
      </c>
      <c r="E39" s="34" t="s">
        <v>268</v>
      </c>
      <c r="F39" s="26" t="s">
        <v>269</v>
      </c>
      <c r="G39" s="45" t="s">
        <v>270</v>
      </c>
      <c r="H39" s="21"/>
      <c r="I39" s="22"/>
      <c r="J39" s="47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>
      <c r="A40" s="17" t="s">
        <v>271</v>
      </c>
      <c r="B40" s="17" t="s">
        <v>272</v>
      </c>
      <c r="C40" s="17" t="s">
        <v>139</v>
      </c>
      <c r="D40" s="48" t="s">
        <v>273</v>
      </c>
      <c r="E40" s="29" t="s">
        <v>274</v>
      </c>
      <c r="F40" s="17" t="s">
        <v>275</v>
      </c>
      <c r="G40" s="46" t="s">
        <v>276</v>
      </c>
      <c r="H40" s="21"/>
      <c r="I40" s="22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>
      <c r="A41" s="26" t="s">
        <v>277</v>
      </c>
      <c r="B41" s="26" t="s">
        <v>278</v>
      </c>
      <c r="C41" s="26" t="s">
        <v>21</v>
      </c>
      <c r="D41" s="49" t="s">
        <v>279</v>
      </c>
      <c r="E41" s="18" t="s">
        <v>280</v>
      </c>
      <c r="F41" s="17" t="s">
        <v>281</v>
      </c>
      <c r="G41" s="45" t="s">
        <v>282</v>
      </c>
      <c r="H41" s="21"/>
      <c r="I41" s="22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>
      <c r="A42" s="17" t="s">
        <v>283</v>
      </c>
      <c r="B42" s="17" t="s">
        <v>26</v>
      </c>
      <c r="C42" s="17" t="s">
        <v>21</v>
      </c>
      <c r="D42" s="41" t="s">
        <v>284</v>
      </c>
      <c r="E42" s="18" t="s">
        <v>285</v>
      </c>
      <c r="F42" s="17" t="s">
        <v>286</v>
      </c>
      <c r="G42" s="43" t="s">
        <v>287</v>
      </c>
      <c r="H42" s="17"/>
      <c r="I42" s="21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>
      <c r="A43" s="17" t="s">
        <v>288</v>
      </c>
      <c r="B43" s="17" t="s">
        <v>163</v>
      </c>
      <c r="C43" s="17" t="s">
        <v>153</v>
      </c>
      <c r="D43" s="48" t="s">
        <v>289</v>
      </c>
      <c r="E43" s="18" t="s">
        <v>290</v>
      </c>
      <c r="F43" s="17" t="s">
        <v>291</v>
      </c>
      <c r="G43" s="46" t="s">
        <v>157</v>
      </c>
      <c r="H43" s="17"/>
      <c r="I43" s="22"/>
      <c r="J43" s="16"/>
      <c r="K43" s="30"/>
      <c r="L43" s="16"/>
      <c r="M43" s="16"/>
      <c r="N43" s="16"/>
      <c r="O43" s="16"/>
      <c r="P43" s="16"/>
      <c r="Q43" s="16"/>
      <c r="R43" s="16"/>
      <c r="S43" s="16"/>
      <c r="T43" s="16"/>
    </row>
    <row r="44">
      <c r="A44" s="26" t="s">
        <v>292</v>
      </c>
      <c r="B44" s="26" t="s">
        <v>33</v>
      </c>
      <c r="C44" s="26" t="s">
        <v>29</v>
      </c>
      <c r="D44" s="49" t="s">
        <v>227</v>
      </c>
      <c r="E44" s="26" t="s">
        <v>293</v>
      </c>
      <c r="F44" s="34" t="s">
        <v>294</v>
      </c>
      <c r="G44" s="45" t="s">
        <v>295</v>
      </c>
      <c r="H44" s="21"/>
      <c r="I44" s="22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>
      <c r="A45" s="26" t="s">
        <v>296</v>
      </c>
      <c r="B45" s="26" t="s">
        <v>26</v>
      </c>
      <c r="C45" s="26" t="s">
        <v>297</v>
      </c>
      <c r="D45" s="49" t="s">
        <v>227</v>
      </c>
      <c r="E45" s="29" t="s">
        <v>298</v>
      </c>
      <c r="F45" s="30" t="s">
        <v>299</v>
      </c>
      <c r="G45" s="45" t="s">
        <v>300</v>
      </c>
      <c r="H45" s="21"/>
      <c r="I45" s="22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>
      <c r="A46" s="17" t="s">
        <v>301</v>
      </c>
      <c r="B46" s="17" t="s">
        <v>258</v>
      </c>
      <c r="C46" s="17" t="s">
        <v>207</v>
      </c>
      <c r="D46" s="48" t="s">
        <v>302</v>
      </c>
      <c r="E46" s="18" t="s">
        <v>303</v>
      </c>
      <c r="F46" s="30" t="s">
        <v>304</v>
      </c>
      <c r="G46" s="46" t="s">
        <v>305</v>
      </c>
      <c r="H46" s="17"/>
      <c r="I46" s="22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>
      <c r="A47" s="17" t="s">
        <v>306</v>
      </c>
      <c r="B47" s="17" t="s">
        <v>307</v>
      </c>
      <c r="C47" s="17" t="s">
        <v>127</v>
      </c>
      <c r="D47" s="48" t="s">
        <v>308</v>
      </c>
      <c r="E47" s="18" t="s">
        <v>309</v>
      </c>
      <c r="F47" s="30" t="s">
        <v>310</v>
      </c>
      <c r="G47" s="46" t="s">
        <v>311</v>
      </c>
      <c r="H47" s="21"/>
      <c r="I47" s="22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>
      <c r="A48" s="17" t="s">
        <v>312</v>
      </c>
      <c r="B48" s="17" t="s">
        <v>258</v>
      </c>
      <c r="C48" s="17" t="s">
        <v>313</v>
      </c>
      <c r="D48" s="48" t="s">
        <v>227</v>
      </c>
      <c r="E48" s="29" t="s">
        <v>314</v>
      </c>
      <c r="F48" s="30" t="s">
        <v>315</v>
      </c>
      <c r="G48" s="43" t="s">
        <v>316</v>
      </c>
      <c r="H48" s="17"/>
      <c r="I48" s="22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>
      <c r="A49" s="17" t="s">
        <v>317</v>
      </c>
      <c r="B49" s="17" t="s">
        <v>318</v>
      </c>
      <c r="C49" s="17" t="s">
        <v>127</v>
      </c>
      <c r="D49" s="48" t="s">
        <v>319</v>
      </c>
      <c r="E49" s="29" t="s">
        <v>320</v>
      </c>
      <c r="F49" s="30" t="s">
        <v>321</v>
      </c>
      <c r="G49" s="46" t="s">
        <v>322</v>
      </c>
      <c r="H49" s="17"/>
      <c r="I49" s="22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>
      <c r="A50" s="17" t="s">
        <v>323</v>
      </c>
      <c r="B50" s="17" t="s">
        <v>324</v>
      </c>
      <c r="C50" s="17" t="s">
        <v>127</v>
      </c>
      <c r="D50" s="50" t="s">
        <v>325</v>
      </c>
      <c r="E50" s="20" t="s">
        <v>326</v>
      </c>
      <c r="F50" s="30" t="s">
        <v>327</v>
      </c>
      <c r="G50" s="51" t="s">
        <v>328</v>
      </c>
      <c r="H50" s="21"/>
      <c r="I50" s="22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>
      <c r="A51" s="26" t="s">
        <v>329</v>
      </c>
      <c r="B51" s="26" t="s">
        <v>26</v>
      </c>
      <c r="C51" s="26" t="s">
        <v>330</v>
      </c>
      <c r="D51" s="44" t="s">
        <v>331</v>
      </c>
      <c r="E51" s="26" t="s">
        <v>332</v>
      </c>
      <c r="F51" s="26" t="s">
        <v>333</v>
      </c>
      <c r="G51" s="45" t="s">
        <v>334</v>
      </c>
      <c r="H51" s="21"/>
      <c r="I51" s="21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>
      <c r="A52" s="17" t="s">
        <v>335</v>
      </c>
      <c r="B52" s="17" t="s">
        <v>33</v>
      </c>
      <c r="C52" s="17" t="s">
        <v>336</v>
      </c>
      <c r="D52" s="41" t="s">
        <v>337</v>
      </c>
      <c r="E52" s="18" t="s">
        <v>338</v>
      </c>
      <c r="F52" s="17" t="s">
        <v>339</v>
      </c>
      <c r="G52" s="46" t="s">
        <v>340</v>
      </c>
      <c r="H52" s="21"/>
      <c r="I52" s="21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>
      <c r="A53" s="26" t="s">
        <v>341</v>
      </c>
      <c r="B53" s="26" t="s">
        <v>342</v>
      </c>
      <c r="C53" s="26" t="s">
        <v>127</v>
      </c>
      <c r="D53" s="44" t="s">
        <v>343</v>
      </c>
      <c r="E53" s="34" t="s">
        <v>344</v>
      </c>
      <c r="F53" s="26" t="s">
        <v>345</v>
      </c>
      <c r="G53" s="45" t="s">
        <v>346</v>
      </c>
      <c r="H53" s="21"/>
      <c r="I53" s="22"/>
      <c r="J53" s="30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>
      <c r="A54" s="17" t="s">
        <v>347</v>
      </c>
      <c r="B54" s="17" t="s">
        <v>318</v>
      </c>
      <c r="C54" s="17" t="s">
        <v>207</v>
      </c>
      <c r="D54" s="52" t="s">
        <v>348</v>
      </c>
      <c r="E54" s="18" t="s">
        <v>349</v>
      </c>
      <c r="F54" s="30" t="s">
        <v>350</v>
      </c>
      <c r="G54" s="43" t="s">
        <v>351</v>
      </c>
      <c r="H54" s="17"/>
      <c r="I54" s="22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>
      <c r="A55" s="16" t="s">
        <v>352</v>
      </c>
      <c r="B55" s="16" t="s">
        <v>101</v>
      </c>
      <c r="C55" s="16" t="s">
        <v>32</v>
      </c>
      <c r="D55" s="53" t="s">
        <v>353</v>
      </c>
      <c r="E55" s="18" t="s">
        <v>354</v>
      </c>
      <c r="F55" s="30" t="s">
        <v>355</v>
      </c>
      <c r="G55" s="54" t="s">
        <v>356</v>
      </c>
      <c r="H55" s="17"/>
      <c r="I55" s="22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>
      <c r="A56" s="16" t="s">
        <v>357</v>
      </c>
      <c r="B56" s="16" t="s">
        <v>358</v>
      </c>
      <c r="C56" s="16" t="s">
        <v>313</v>
      </c>
      <c r="D56" s="55" t="s">
        <v>359</v>
      </c>
      <c r="E56" s="18" t="s">
        <v>360</v>
      </c>
      <c r="F56" s="30" t="s">
        <v>361</v>
      </c>
      <c r="G56" s="54" t="s">
        <v>362</v>
      </c>
      <c r="H56" s="17"/>
      <c r="I56" s="22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>
      <c r="A58" s="14" t="s">
        <v>363</v>
      </c>
      <c r="B58" s="15"/>
      <c r="C58" s="15"/>
      <c r="D58" s="15"/>
      <c r="E58" s="15"/>
      <c r="F58" s="15"/>
      <c r="G58" s="15"/>
      <c r="H58" s="15"/>
      <c r="I58" s="4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>
      <c r="A59" s="17" t="s">
        <v>72</v>
      </c>
      <c r="B59" s="17" t="s">
        <v>73</v>
      </c>
      <c r="C59" s="17" t="s">
        <v>74</v>
      </c>
      <c r="D59" s="17" t="s">
        <v>75</v>
      </c>
      <c r="E59" s="17" t="s">
        <v>76</v>
      </c>
      <c r="F59" s="17" t="s">
        <v>77</v>
      </c>
      <c r="G59" s="17" t="s">
        <v>78</v>
      </c>
      <c r="H59" s="17" t="s">
        <v>79</v>
      </c>
      <c r="I59" s="18" t="s">
        <v>80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>
      <c r="A60" s="17" t="s">
        <v>364</v>
      </c>
      <c r="B60" s="17" t="s">
        <v>82</v>
      </c>
      <c r="C60" s="17" t="s">
        <v>127</v>
      </c>
      <c r="D60" s="48" t="s">
        <v>273</v>
      </c>
      <c r="E60" s="18" t="s">
        <v>365</v>
      </c>
      <c r="F60" s="18" t="s">
        <v>366</v>
      </c>
      <c r="G60" s="56" t="s">
        <v>367</v>
      </c>
      <c r="H60" s="17"/>
      <c r="I60" s="22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>
      <c r="A61" s="26" t="s">
        <v>368</v>
      </c>
      <c r="B61" s="26" t="s">
        <v>369</v>
      </c>
      <c r="C61" s="26" t="s">
        <v>207</v>
      </c>
      <c r="D61" s="49" t="s">
        <v>273</v>
      </c>
      <c r="E61" s="34" t="s">
        <v>370</v>
      </c>
      <c r="F61" s="34" t="s">
        <v>371</v>
      </c>
      <c r="G61" s="57" t="s">
        <v>372</v>
      </c>
      <c r="H61" s="17"/>
      <c r="I61" s="22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>
      <c r="A62" s="17" t="s">
        <v>373</v>
      </c>
      <c r="B62" s="17" t="s">
        <v>374</v>
      </c>
      <c r="C62" s="17" t="s">
        <v>127</v>
      </c>
      <c r="D62" s="48" t="s">
        <v>375</v>
      </c>
      <c r="E62" s="18" t="s">
        <v>376</v>
      </c>
      <c r="F62" s="18" t="s">
        <v>310</v>
      </c>
      <c r="G62" s="56" t="s">
        <v>377</v>
      </c>
      <c r="H62" s="17"/>
      <c r="I62" s="22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>
      <c r="A63" s="17" t="s">
        <v>378</v>
      </c>
      <c r="B63" s="17" t="s">
        <v>82</v>
      </c>
      <c r="C63" s="17" t="s">
        <v>313</v>
      </c>
      <c r="D63" s="48" t="s">
        <v>273</v>
      </c>
      <c r="E63" s="18" t="s">
        <v>379</v>
      </c>
      <c r="F63" s="18" t="s">
        <v>380</v>
      </c>
      <c r="G63" s="28" t="s">
        <v>381</v>
      </c>
      <c r="H63" s="17"/>
      <c r="I63" s="22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>
      <c r="A64" s="17" t="s">
        <v>382</v>
      </c>
      <c r="B64" s="17" t="s">
        <v>82</v>
      </c>
      <c r="C64" s="17" t="s">
        <v>139</v>
      </c>
      <c r="D64" s="48" t="s">
        <v>273</v>
      </c>
      <c r="E64" s="18" t="s">
        <v>383</v>
      </c>
      <c r="F64" s="18" t="s">
        <v>384</v>
      </c>
      <c r="G64" s="56" t="s">
        <v>385</v>
      </c>
      <c r="H64" s="17"/>
      <c r="I64" s="22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>
      <c r="A65" s="17" t="s">
        <v>386</v>
      </c>
      <c r="B65" s="17" t="s">
        <v>82</v>
      </c>
      <c r="C65" s="17" t="s">
        <v>25</v>
      </c>
      <c r="D65" s="48" t="s">
        <v>273</v>
      </c>
      <c r="E65" s="18" t="s">
        <v>387</v>
      </c>
      <c r="F65" s="18" t="s">
        <v>388</v>
      </c>
      <c r="G65" s="56" t="s">
        <v>389</v>
      </c>
      <c r="H65" s="18"/>
      <c r="I65" s="22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>
      <c r="A66" s="26" t="s">
        <v>390</v>
      </c>
      <c r="B66" s="26" t="s">
        <v>391</v>
      </c>
      <c r="C66" s="26" t="s">
        <v>127</v>
      </c>
      <c r="D66" s="44" t="s">
        <v>392</v>
      </c>
      <c r="E66" s="26" t="s">
        <v>393</v>
      </c>
      <c r="F66" s="34" t="s">
        <v>394</v>
      </c>
      <c r="G66" s="57" t="s">
        <v>395</v>
      </c>
      <c r="H66" s="21"/>
      <c r="I66" s="21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>
      <c r="A67" s="17" t="s">
        <v>396</v>
      </c>
      <c r="B67" s="17" t="s">
        <v>318</v>
      </c>
      <c r="C67" s="17" t="s">
        <v>89</v>
      </c>
      <c r="D67" s="48" t="s">
        <v>273</v>
      </c>
      <c r="E67" s="18" t="s">
        <v>397</v>
      </c>
      <c r="F67" s="18" t="s">
        <v>398</v>
      </c>
      <c r="G67" s="56" t="s">
        <v>399</v>
      </c>
      <c r="H67" s="17"/>
      <c r="I67" s="22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>
      <c r="A68" s="17" t="s">
        <v>400</v>
      </c>
      <c r="B68" s="17" t="s">
        <v>82</v>
      </c>
      <c r="C68" s="17" t="s">
        <v>127</v>
      </c>
      <c r="D68" s="48" t="s">
        <v>273</v>
      </c>
      <c r="E68" s="29" t="s">
        <v>401</v>
      </c>
      <c r="F68" s="18" t="s">
        <v>402</v>
      </c>
      <c r="G68" s="56" t="s">
        <v>403</v>
      </c>
      <c r="H68" s="17"/>
      <c r="I68" s="22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>
      <c r="A69" s="17" t="s">
        <v>404</v>
      </c>
      <c r="B69" s="17" t="s">
        <v>36</v>
      </c>
      <c r="C69" s="17" t="s">
        <v>89</v>
      </c>
      <c r="D69" s="48" t="s">
        <v>273</v>
      </c>
      <c r="E69" s="29" t="s">
        <v>405</v>
      </c>
      <c r="F69" s="18" t="s">
        <v>406</v>
      </c>
      <c r="G69" s="56" t="s">
        <v>407</v>
      </c>
      <c r="H69" s="17"/>
      <c r="I69" s="22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>
      <c r="A70" s="17" t="s">
        <v>408</v>
      </c>
      <c r="B70" s="17" t="s">
        <v>163</v>
      </c>
      <c r="C70" s="17" t="s">
        <v>32</v>
      </c>
      <c r="D70" s="48" t="s">
        <v>409</v>
      </c>
      <c r="E70" s="29" t="s">
        <v>410</v>
      </c>
      <c r="F70" s="18" t="s">
        <v>411</v>
      </c>
      <c r="G70" s="56" t="s">
        <v>412</v>
      </c>
      <c r="H70" s="17"/>
      <c r="I70" s="22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>
      <c r="A71" s="17" t="s">
        <v>413</v>
      </c>
      <c r="B71" s="17" t="s">
        <v>324</v>
      </c>
      <c r="C71" s="17" t="s">
        <v>127</v>
      </c>
      <c r="D71" s="48" t="s">
        <v>414</v>
      </c>
      <c r="E71" s="29" t="s">
        <v>415</v>
      </c>
      <c r="F71" s="18" t="s">
        <v>416</v>
      </c>
      <c r="G71" s="56" t="s">
        <v>417</v>
      </c>
      <c r="H71" s="17"/>
      <c r="I71" s="22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>
      <c r="A72" s="17" t="s">
        <v>418</v>
      </c>
      <c r="B72" s="17" t="s">
        <v>419</v>
      </c>
      <c r="C72" s="17" t="s">
        <v>89</v>
      </c>
      <c r="D72" s="48" t="s">
        <v>420</v>
      </c>
      <c r="E72" s="29" t="s">
        <v>421</v>
      </c>
      <c r="F72" s="18" t="s">
        <v>422</v>
      </c>
      <c r="G72" s="56" t="s">
        <v>423</v>
      </c>
      <c r="H72" s="17"/>
      <c r="I72" s="22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>
      <c r="A73" s="17" t="s">
        <v>424</v>
      </c>
      <c r="B73" s="17" t="s">
        <v>36</v>
      </c>
      <c r="C73" s="17" t="s">
        <v>89</v>
      </c>
      <c r="D73" s="48" t="s">
        <v>425</v>
      </c>
      <c r="E73" s="18" t="s">
        <v>426</v>
      </c>
      <c r="F73" s="18" t="s">
        <v>427</v>
      </c>
      <c r="G73" s="56" t="s">
        <v>428</v>
      </c>
      <c r="H73" s="17"/>
      <c r="I73" s="22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>
      <c r="A74" s="17" t="s">
        <v>429</v>
      </c>
      <c r="B74" s="17" t="s">
        <v>430</v>
      </c>
      <c r="C74" s="17" t="s">
        <v>431</v>
      </c>
      <c r="D74" s="48" t="s">
        <v>432</v>
      </c>
      <c r="E74" s="29" t="s">
        <v>433</v>
      </c>
      <c r="F74" s="18" t="s">
        <v>434</v>
      </c>
      <c r="G74" s="56" t="s">
        <v>435</v>
      </c>
      <c r="H74" s="17"/>
      <c r="I74" s="22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>
      <c r="A75" s="17" t="s">
        <v>436</v>
      </c>
      <c r="B75" s="17" t="s">
        <v>82</v>
      </c>
      <c r="C75" s="17" t="s">
        <v>437</v>
      </c>
      <c r="D75" s="48" t="s">
        <v>438</v>
      </c>
      <c r="E75" s="29" t="s">
        <v>439</v>
      </c>
      <c r="F75" s="18" t="s">
        <v>440</v>
      </c>
      <c r="G75" s="56" t="s">
        <v>441</v>
      </c>
      <c r="H75" s="17"/>
      <c r="I75" s="22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>
      <c r="A76" s="17" t="s">
        <v>442</v>
      </c>
      <c r="B76" s="17" t="s">
        <v>82</v>
      </c>
      <c r="C76" s="17" t="s">
        <v>443</v>
      </c>
      <c r="D76" s="48" t="s">
        <v>444</v>
      </c>
      <c r="E76" s="29" t="s">
        <v>445</v>
      </c>
      <c r="F76" s="18" t="s">
        <v>446</v>
      </c>
      <c r="G76" s="56" t="s">
        <v>447</v>
      </c>
      <c r="H76" s="17"/>
      <c r="I76" s="22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>
      <c r="A77" s="17" t="s">
        <v>448</v>
      </c>
      <c r="B77" s="17" t="s">
        <v>163</v>
      </c>
      <c r="C77" s="17" t="s">
        <v>449</v>
      </c>
      <c r="D77" s="48" t="s">
        <v>450</v>
      </c>
      <c r="E77" s="18" t="s">
        <v>451</v>
      </c>
      <c r="F77" s="18" t="s">
        <v>452</v>
      </c>
      <c r="G77" s="56" t="s">
        <v>453</v>
      </c>
      <c r="H77" s="17"/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>
      <c r="A78" s="17" t="s">
        <v>454</v>
      </c>
      <c r="B78" s="17" t="s">
        <v>318</v>
      </c>
      <c r="C78" s="17" t="s">
        <v>17</v>
      </c>
      <c r="D78" s="17" t="s">
        <v>455</v>
      </c>
      <c r="E78" s="29" t="s">
        <v>456</v>
      </c>
      <c r="F78" s="18" t="s">
        <v>457</v>
      </c>
      <c r="G78" s="58" t="s">
        <v>458</v>
      </c>
      <c r="H78" s="17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>
      <c r="A79" s="26" t="s">
        <v>459</v>
      </c>
      <c r="B79" s="26" t="s">
        <v>26</v>
      </c>
      <c r="C79" s="26" t="s">
        <v>153</v>
      </c>
      <c r="D79" s="49" t="s">
        <v>460</v>
      </c>
      <c r="E79" s="59" t="s">
        <v>461</v>
      </c>
      <c r="F79" s="34" t="s">
        <v>462</v>
      </c>
      <c r="G79" s="57" t="s">
        <v>463</v>
      </c>
      <c r="H79" s="17"/>
      <c r="I79" s="22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>
      <c r="A80" s="17" t="s">
        <v>464</v>
      </c>
      <c r="B80" s="17" t="s">
        <v>33</v>
      </c>
      <c r="C80" s="17" t="s">
        <v>207</v>
      </c>
      <c r="D80" s="60" t="s">
        <v>465</v>
      </c>
      <c r="E80" s="18" t="s">
        <v>466</v>
      </c>
      <c r="F80" s="18" t="s">
        <v>467</v>
      </c>
      <c r="G80" s="56" t="s">
        <v>468</v>
      </c>
      <c r="H80" s="17"/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>
      <c r="A81" s="17" t="s">
        <v>469</v>
      </c>
      <c r="B81" s="17" t="s">
        <v>26</v>
      </c>
      <c r="C81" s="17" t="s">
        <v>470</v>
      </c>
      <c r="D81" s="61" t="s">
        <v>471</v>
      </c>
      <c r="E81" s="18" t="s">
        <v>472</v>
      </c>
      <c r="F81" s="18" t="s">
        <v>473</v>
      </c>
      <c r="G81" s="56" t="s">
        <v>474</v>
      </c>
      <c r="H81" s="17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>
      <c r="A82" s="26" t="s">
        <v>475</v>
      </c>
      <c r="B82" s="26" t="s">
        <v>476</v>
      </c>
      <c r="C82" s="26" t="s">
        <v>25</v>
      </c>
      <c r="D82" s="44" t="s">
        <v>477</v>
      </c>
      <c r="E82" s="26" t="s">
        <v>478</v>
      </c>
      <c r="F82" s="34" t="s">
        <v>479</v>
      </c>
      <c r="G82" s="57" t="s">
        <v>480</v>
      </c>
      <c r="H82" s="21"/>
      <c r="I82" s="21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>
      <c r="A83" s="26" t="s">
        <v>481</v>
      </c>
      <c r="B83" s="26" t="s">
        <v>476</v>
      </c>
      <c r="C83" s="26" t="s">
        <v>89</v>
      </c>
      <c r="D83" s="49" t="s">
        <v>273</v>
      </c>
      <c r="E83" s="26" t="s">
        <v>482</v>
      </c>
      <c r="F83" s="34" t="s">
        <v>483</v>
      </c>
      <c r="G83" s="57" t="s">
        <v>346</v>
      </c>
      <c r="H83" s="17"/>
      <c r="I83" s="22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>
      <c r="A84" s="17" t="s">
        <v>484</v>
      </c>
      <c r="B84" s="17" t="s">
        <v>33</v>
      </c>
      <c r="C84" s="17" t="s">
        <v>89</v>
      </c>
      <c r="D84" s="48" t="s">
        <v>273</v>
      </c>
      <c r="E84" s="18" t="s">
        <v>485</v>
      </c>
      <c r="F84" s="18" t="s">
        <v>486</v>
      </c>
      <c r="G84" s="56" t="s">
        <v>487</v>
      </c>
      <c r="H84" s="17"/>
      <c r="I84" s="22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>
      <c r="A85" s="17" t="s">
        <v>488</v>
      </c>
      <c r="B85" s="17" t="s">
        <v>82</v>
      </c>
      <c r="C85" s="17" t="s">
        <v>35</v>
      </c>
      <c r="D85" s="48" t="s">
        <v>273</v>
      </c>
      <c r="E85" s="18" t="s">
        <v>489</v>
      </c>
      <c r="F85" s="18" t="s">
        <v>490</v>
      </c>
      <c r="G85" s="56" t="s">
        <v>491</v>
      </c>
      <c r="H85" s="17"/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>
      <c r="A86" s="17" t="s">
        <v>492</v>
      </c>
      <c r="B86" s="17" t="s">
        <v>163</v>
      </c>
      <c r="C86" s="17" t="s">
        <v>493</v>
      </c>
      <c r="D86" s="48" t="s">
        <v>273</v>
      </c>
      <c r="E86" s="18" t="s">
        <v>494</v>
      </c>
      <c r="F86" s="18" t="s">
        <v>310</v>
      </c>
      <c r="G86" s="56" t="s">
        <v>480</v>
      </c>
      <c r="H86" s="17"/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>
      <c r="A87" s="26" t="s">
        <v>495</v>
      </c>
      <c r="B87" s="26" t="s">
        <v>30</v>
      </c>
      <c r="C87" s="26" t="s">
        <v>17</v>
      </c>
      <c r="D87" s="49" t="s">
        <v>496</v>
      </c>
      <c r="E87" s="34" t="s">
        <v>497</v>
      </c>
      <c r="F87" s="34" t="s">
        <v>498</v>
      </c>
      <c r="G87" s="57" t="s">
        <v>499</v>
      </c>
      <c r="H87" s="17"/>
      <c r="I87" s="22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>
      <c r="A89" s="14" t="s">
        <v>500</v>
      </c>
      <c r="B89" s="15"/>
      <c r="C89" s="15"/>
      <c r="D89" s="15"/>
      <c r="E89" s="15"/>
      <c r="F89" s="15"/>
      <c r="G89" s="15"/>
      <c r="H89" s="15"/>
      <c r="I89" s="4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>
      <c r="A90" s="17" t="s">
        <v>72</v>
      </c>
      <c r="B90" s="17" t="s">
        <v>73</v>
      </c>
      <c r="C90" s="17" t="s">
        <v>74</v>
      </c>
      <c r="D90" s="17" t="s">
        <v>75</v>
      </c>
      <c r="E90" s="17" t="s">
        <v>76</v>
      </c>
      <c r="F90" s="17" t="s">
        <v>77</v>
      </c>
      <c r="G90" s="17" t="s">
        <v>78</v>
      </c>
      <c r="H90" s="17" t="s">
        <v>79</v>
      </c>
      <c r="I90" s="18" t="s">
        <v>80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>
      <c r="A91" s="17" t="s">
        <v>501</v>
      </c>
      <c r="B91" s="17" t="s">
        <v>163</v>
      </c>
      <c r="C91" s="17" t="s">
        <v>17</v>
      </c>
      <c r="D91" s="48" t="s">
        <v>502</v>
      </c>
      <c r="E91" s="29" t="s">
        <v>503</v>
      </c>
      <c r="F91" s="17" t="s">
        <v>504</v>
      </c>
      <c r="G91" s="56" t="s">
        <v>230</v>
      </c>
      <c r="H91" s="17"/>
      <c r="I91" s="22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>
      <c r="A92" s="17" t="s">
        <v>505</v>
      </c>
      <c r="B92" s="17" t="s">
        <v>101</v>
      </c>
      <c r="C92" s="17" t="s">
        <v>180</v>
      </c>
      <c r="D92" s="48" t="s">
        <v>506</v>
      </c>
      <c r="E92" s="18" t="s">
        <v>507</v>
      </c>
      <c r="F92" s="17" t="s">
        <v>508</v>
      </c>
      <c r="G92" s="56" t="s">
        <v>509</v>
      </c>
      <c r="H92" s="17"/>
      <c r="I92" s="22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>
      <c r="A93" s="17" t="s">
        <v>510</v>
      </c>
      <c r="B93" s="17" t="s">
        <v>101</v>
      </c>
      <c r="C93" s="17" t="s">
        <v>470</v>
      </c>
      <c r="D93" s="48" t="s">
        <v>511</v>
      </c>
      <c r="E93" s="18" t="s">
        <v>512</v>
      </c>
      <c r="F93" s="17" t="s">
        <v>513</v>
      </c>
      <c r="G93" s="56" t="s">
        <v>514</v>
      </c>
      <c r="H93" s="21"/>
      <c r="I93" s="21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>
      <c r="A94" s="17" t="s">
        <v>515</v>
      </c>
      <c r="B94" s="17" t="s">
        <v>26</v>
      </c>
      <c r="C94" s="17" t="s">
        <v>25</v>
      </c>
      <c r="D94" s="48" t="s">
        <v>516</v>
      </c>
      <c r="E94" s="18" t="s">
        <v>517</v>
      </c>
      <c r="F94" s="17" t="s">
        <v>518</v>
      </c>
      <c r="G94" s="56" t="s">
        <v>519</v>
      </c>
      <c r="H94" s="17"/>
      <c r="I94" s="21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>
      <c r="A95" s="17" t="s">
        <v>520</v>
      </c>
      <c r="B95" s="17" t="s">
        <v>163</v>
      </c>
      <c r="C95" s="17" t="s">
        <v>153</v>
      </c>
      <c r="D95" s="48" t="s">
        <v>521</v>
      </c>
      <c r="E95" s="29" t="s">
        <v>522</v>
      </c>
      <c r="F95" s="17" t="s">
        <v>523</v>
      </c>
      <c r="G95" s="56" t="s">
        <v>524</v>
      </c>
      <c r="H95" s="17"/>
      <c r="I95" s="22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>
      <c r="A96" s="17" t="s">
        <v>525</v>
      </c>
      <c r="B96" s="17" t="s">
        <v>476</v>
      </c>
      <c r="C96" s="17" t="s">
        <v>180</v>
      </c>
      <c r="D96" s="48" t="s">
        <v>526</v>
      </c>
      <c r="E96" s="18" t="s">
        <v>527</v>
      </c>
      <c r="F96" s="17" t="s">
        <v>528</v>
      </c>
      <c r="G96" s="56" t="s">
        <v>529</v>
      </c>
      <c r="H96" s="17"/>
      <c r="I96" s="22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>
      <c r="A97" s="17" t="s">
        <v>530</v>
      </c>
      <c r="B97" s="17" t="s">
        <v>278</v>
      </c>
      <c r="C97" s="17" t="s">
        <v>17</v>
      </c>
      <c r="D97" s="48" t="s">
        <v>531</v>
      </c>
      <c r="E97" s="29" t="s">
        <v>532</v>
      </c>
      <c r="F97" s="17" t="s">
        <v>533</v>
      </c>
      <c r="G97" s="56" t="s">
        <v>230</v>
      </c>
      <c r="H97" s="17"/>
      <c r="I97" s="22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>
      <c r="A98" s="17" t="s">
        <v>534</v>
      </c>
      <c r="B98" s="17" t="s">
        <v>26</v>
      </c>
      <c r="C98" s="17" t="s">
        <v>17</v>
      </c>
      <c r="D98" s="48" t="s">
        <v>535</v>
      </c>
      <c r="E98" s="29" t="s">
        <v>536</v>
      </c>
      <c r="F98" s="17" t="s">
        <v>537</v>
      </c>
      <c r="G98" s="56" t="s">
        <v>538</v>
      </c>
      <c r="H98" s="17"/>
      <c r="I98" s="22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>
      <c r="A99" s="17" t="s">
        <v>539</v>
      </c>
      <c r="B99" s="17" t="s">
        <v>101</v>
      </c>
      <c r="C99" s="17" t="s">
        <v>180</v>
      </c>
      <c r="D99" s="48" t="s">
        <v>540</v>
      </c>
      <c r="E99" s="18" t="s">
        <v>541</v>
      </c>
      <c r="F99" s="17" t="s">
        <v>542</v>
      </c>
      <c r="G99" s="56" t="s">
        <v>543</v>
      </c>
      <c r="H99" s="21"/>
      <c r="I99" s="21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>
      <c r="A100" s="17" t="s">
        <v>544</v>
      </c>
      <c r="B100" s="17" t="s">
        <v>30</v>
      </c>
      <c r="C100" s="17" t="s">
        <v>17</v>
      </c>
      <c r="D100" s="48" t="s">
        <v>535</v>
      </c>
      <c r="E100" s="18" t="s">
        <v>248</v>
      </c>
      <c r="F100" s="17" t="s">
        <v>249</v>
      </c>
      <c r="G100" s="56" t="s">
        <v>545</v>
      </c>
      <c r="H100" s="17"/>
      <c r="I100" s="22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>
      <c r="A101" s="26" t="s">
        <v>546</v>
      </c>
      <c r="B101" s="26" t="s">
        <v>391</v>
      </c>
      <c r="C101" s="26" t="s">
        <v>25</v>
      </c>
      <c r="D101" s="49" t="s">
        <v>535</v>
      </c>
      <c r="E101" s="34" t="s">
        <v>547</v>
      </c>
      <c r="F101" s="26" t="s">
        <v>548</v>
      </c>
      <c r="G101" s="57" t="s">
        <v>549</v>
      </c>
      <c r="H101" s="17"/>
      <c r="I101" s="22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>
      <c r="A102" s="17" t="s">
        <v>550</v>
      </c>
      <c r="B102" s="17" t="s">
        <v>22</v>
      </c>
      <c r="C102" s="17" t="s">
        <v>127</v>
      </c>
      <c r="D102" s="48" t="s">
        <v>551</v>
      </c>
      <c r="E102" s="29" t="s">
        <v>552</v>
      </c>
      <c r="F102" s="17" t="s">
        <v>553</v>
      </c>
      <c r="G102" s="56" t="s">
        <v>554</v>
      </c>
      <c r="H102" s="17"/>
      <c r="I102" s="22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>
      <c r="A103" s="17" t="s">
        <v>555</v>
      </c>
      <c r="B103" s="17" t="s">
        <v>30</v>
      </c>
      <c r="C103" s="17" t="s">
        <v>29</v>
      </c>
      <c r="D103" s="48" t="s">
        <v>556</v>
      </c>
      <c r="E103" s="18" t="s">
        <v>557</v>
      </c>
      <c r="F103" s="17" t="s">
        <v>558</v>
      </c>
      <c r="G103" s="56" t="s">
        <v>559</v>
      </c>
      <c r="H103" s="21"/>
      <c r="I103" s="21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>
      <c r="A104" s="26" t="s">
        <v>560</v>
      </c>
      <c r="B104" s="26" t="s">
        <v>476</v>
      </c>
      <c r="C104" s="26" t="s">
        <v>330</v>
      </c>
      <c r="D104" s="49" t="s">
        <v>561</v>
      </c>
      <c r="E104" s="59" t="s">
        <v>562</v>
      </c>
      <c r="F104" s="26" t="s">
        <v>563</v>
      </c>
      <c r="G104" s="57" t="s">
        <v>564</v>
      </c>
      <c r="H104" s="17"/>
      <c r="I104" s="22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>
      <c r="A105" s="26" t="s">
        <v>565</v>
      </c>
      <c r="B105" s="26" t="s">
        <v>30</v>
      </c>
      <c r="C105" s="26" t="s">
        <v>21</v>
      </c>
      <c r="D105" s="49" t="s">
        <v>535</v>
      </c>
      <c r="E105" s="34" t="s">
        <v>566</v>
      </c>
      <c r="F105" s="26" t="s">
        <v>567</v>
      </c>
      <c r="G105" s="57" t="s">
        <v>568</v>
      </c>
      <c r="H105" s="17"/>
      <c r="I105" s="22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>
      <c r="A106" s="17" t="s">
        <v>569</v>
      </c>
      <c r="B106" s="17" t="s">
        <v>26</v>
      </c>
      <c r="C106" s="17" t="s">
        <v>17</v>
      </c>
      <c r="D106" s="48" t="s">
        <v>102</v>
      </c>
      <c r="E106" s="29" t="s">
        <v>570</v>
      </c>
      <c r="F106" s="17" t="s">
        <v>571</v>
      </c>
      <c r="G106" s="56" t="s">
        <v>572</v>
      </c>
      <c r="H106" s="17"/>
      <c r="I106" s="22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>
      <c r="A107" s="17" t="s">
        <v>573</v>
      </c>
      <c r="B107" s="17" t="s">
        <v>101</v>
      </c>
      <c r="C107" s="17" t="s">
        <v>25</v>
      </c>
      <c r="D107" s="48" t="s">
        <v>535</v>
      </c>
      <c r="E107" s="29" t="s">
        <v>574</v>
      </c>
      <c r="F107" s="17" t="s">
        <v>575</v>
      </c>
      <c r="G107" s="56" t="s">
        <v>576</v>
      </c>
      <c r="H107" s="17"/>
      <c r="I107" s="22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>
      <c r="A108" s="17" t="s">
        <v>577</v>
      </c>
      <c r="B108" s="17" t="s">
        <v>307</v>
      </c>
      <c r="C108" s="17" t="s">
        <v>89</v>
      </c>
      <c r="D108" s="48" t="s">
        <v>578</v>
      </c>
      <c r="E108" s="18" t="s">
        <v>579</v>
      </c>
      <c r="F108" s="17" t="s">
        <v>580</v>
      </c>
      <c r="G108" s="56" t="s">
        <v>581</v>
      </c>
      <c r="H108" s="17"/>
      <c r="I108" s="22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>
      <c r="A109" s="17" t="s">
        <v>582</v>
      </c>
      <c r="B109" s="17" t="s">
        <v>358</v>
      </c>
      <c r="C109" s="17" t="s">
        <v>17</v>
      </c>
      <c r="D109" s="48" t="s">
        <v>583</v>
      </c>
      <c r="E109" s="18" t="s">
        <v>584</v>
      </c>
      <c r="F109" s="17" t="s">
        <v>585</v>
      </c>
      <c r="G109" s="56" t="s">
        <v>586</v>
      </c>
      <c r="H109" s="17"/>
      <c r="I109" s="21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>
      <c r="A110" s="26" t="s">
        <v>587</v>
      </c>
      <c r="B110" s="26" t="s">
        <v>22</v>
      </c>
      <c r="C110" s="26" t="s">
        <v>21</v>
      </c>
      <c r="D110" s="49" t="s">
        <v>535</v>
      </c>
      <c r="E110" s="59" t="s">
        <v>588</v>
      </c>
      <c r="F110" s="26" t="s">
        <v>589</v>
      </c>
      <c r="G110" s="57" t="s">
        <v>590</v>
      </c>
      <c r="H110" s="17"/>
      <c r="I110" s="22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>
      <c r="A111" s="17" t="s">
        <v>591</v>
      </c>
      <c r="B111" s="17" t="s">
        <v>22</v>
      </c>
      <c r="C111" s="17" t="s">
        <v>17</v>
      </c>
      <c r="D111" s="48" t="s">
        <v>592</v>
      </c>
      <c r="E111" s="18" t="s">
        <v>593</v>
      </c>
      <c r="F111" s="17" t="s">
        <v>594</v>
      </c>
      <c r="G111" s="56" t="s">
        <v>595</v>
      </c>
      <c r="H111" s="21"/>
      <c r="I111" s="21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>
      <c r="A112" s="26" t="s">
        <v>596</v>
      </c>
      <c r="B112" s="26" t="s">
        <v>30</v>
      </c>
      <c r="C112" s="26" t="s">
        <v>127</v>
      </c>
      <c r="D112" s="49" t="s">
        <v>597</v>
      </c>
      <c r="E112" s="34" t="s">
        <v>598</v>
      </c>
      <c r="F112" s="26" t="s">
        <v>599</v>
      </c>
      <c r="G112" s="57" t="s">
        <v>600</v>
      </c>
      <c r="H112" s="21"/>
      <c r="I112" s="21"/>
      <c r="J112" s="30" t="s">
        <v>601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>
      <c r="A113" s="26" t="s">
        <v>602</v>
      </c>
      <c r="B113" s="26" t="s">
        <v>22</v>
      </c>
      <c r="C113" s="26" t="s">
        <v>330</v>
      </c>
      <c r="D113" s="49" t="s">
        <v>603</v>
      </c>
      <c r="E113" s="34" t="s">
        <v>604</v>
      </c>
      <c r="F113" s="26" t="s">
        <v>605</v>
      </c>
      <c r="G113" s="57" t="s">
        <v>606</v>
      </c>
      <c r="H113" s="17"/>
      <c r="I113" s="22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>
      <c r="A114" s="17" t="s">
        <v>607</v>
      </c>
      <c r="B114" s="17" t="s">
        <v>278</v>
      </c>
      <c r="C114" s="17" t="s">
        <v>313</v>
      </c>
      <c r="D114" s="48" t="s">
        <v>608</v>
      </c>
      <c r="E114" s="29" t="s">
        <v>609</v>
      </c>
      <c r="F114" s="17" t="s">
        <v>310</v>
      </c>
      <c r="G114" s="56" t="s">
        <v>610</v>
      </c>
      <c r="H114" s="17"/>
      <c r="I114" s="22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>
      <c r="A116" s="16"/>
      <c r="B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>
      <c r="A117" s="16"/>
      <c r="B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>
      <c r="A118" s="16"/>
      <c r="B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>
      <c r="A119" s="16"/>
      <c r="B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>
      <c r="A120" s="16"/>
      <c r="B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>
      <c r="A121" s="16"/>
      <c r="B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>
      <c r="A122" s="16"/>
      <c r="B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>
      <c r="A123" s="16"/>
      <c r="B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>
      <c r="A124" s="16"/>
      <c r="B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>
      <c r="A125" s="16"/>
      <c r="B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>
      <c r="A126" s="16"/>
      <c r="B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>
      <c r="A127" s="16"/>
      <c r="B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>
      <c r="A128" s="16"/>
      <c r="B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>
      <c r="A129" s="16"/>
      <c r="B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>
      <c r="A130" s="16"/>
      <c r="B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>
      <c r="A131" s="16"/>
      <c r="B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>
      <c r="A132" s="16"/>
      <c r="B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>
      <c r="A133" s="16"/>
      <c r="B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>
      <c r="A134" s="16"/>
      <c r="B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>
      <c r="A135" s="16"/>
      <c r="B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>
      <c r="A136" s="16"/>
      <c r="B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>
      <c r="A137" s="16"/>
      <c r="B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>
      <c r="A138" s="16"/>
      <c r="B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>
      <c r="A139" s="16"/>
      <c r="B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>
      <c r="A140" s="16"/>
      <c r="B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</sheetData>
  <mergeCells count="4">
    <mergeCell ref="A1:I1"/>
    <mergeCell ref="A33:I33"/>
    <mergeCell ref="A58:I58"/>
    <mergeCell ref="A89:I89"/>
  </mergeCells>
  <hyperlinks>
    <hyperlink r:id="rId1" ref="G3"/>
    <hyperlink r:id="rId2" ref="G4"/>
    <hyperlink r:id="rId3" ref="G5"/>
    <hyperlink r:id="rId4" ref="G6"/>
    <hyperlink r:id="rId5" ref="G7"/>
    <hyperlink r:id="rId6" ref="E8"/>
    <hyperlink r:id="rId7" ref="G8"/>
    <hyperlink r:id="rId8" ref="G9"/>
    <hyperlink r:id="rId9" ref="E10"/>
    <hyperlink r:id="rId10" ref="G10"/>
    <hyperlink r:id="rId11" ref="G11"/>
    <hyperlink r:id="rId12" ref="G12"/>
    <hyperlink r:id="rId13" ref="G13"/>
    <hyperlink r:id="rId14" ref="G14"/>
    <hyperlink r:id="rId15" ref="E15"/>
    <hyperlink r:id="rId16" ref="G15"/>
    <hyperlink r:id="rId17" ref="G16"/>
    <hyperlink r:id="rId18" ref="G17"/>
    <hyperlink r:id="rId19" ref="G18"/>
    <hyperlink r:id="rId20" ref="E19"/>
    <hyperlink r:id="rId21" ref="G19"/>
    <hyperlink r:id="rId22" ref="G20"/>
    <hyperlink r:id="rId23" ref="E21"/>
    <hyperlink r:id="rId24" ref="G21"/>
    <hyperlink r:id="rId25" ref="E22"/>
    <hyperlink r:id="rId26" ref="G22"/>
    <hyperlink r:id="rId27" ref="G23"/>
    <hyperlink r:id="rId28" ref="G24"/>
    <hyperlink r:id="rId29" ref="G25"/>
    <hyperlink r:id="rId30" ref="G26"/>
    <hyperlink r:id="rId31" ref="G27"/>
    <hyperlink r:id="rId32" ref="E28"/>
    <hyperlink r:id="rId33" ref="G28"/>
    <hyperlink r:id="rId34" ref="G29"/>
    <hyperlink r:id="rId35" ref="E30"/>
    <hyperlink r:id="rId36" ref="G30"/>
    <hyperlink r:id="rId37" ref="G31"/>
    <hyperlink r:id="rId38" ref="G32"/>
    <hyperlink r:id="rId39" ref="G35"/>
    <hyperlink r:id="rId40" ref="G36"/>
    <hyperlink r:id="rId41" ref="G37"/>
    <hyperlink r:id="rId42" ref="G38"/>
    <hyperlink r:id="rId43" ref="G39"/>
    <hyperlink r:id="rId44" ref="E40"/>
    <hyperlink r:id="rId45" ref="G40"/>
    <hyperlink r:id="rId46" ref="G41"/>
    <hyperlink r:id="rId47" ref="G42"/>
    <hyperlink r:id="rId48" ref="G43"/>
    <hyperlink r:id="rId49" ref="G44"/>
    <hyperlink r:id="rId50" ref="E45"/>
    <hyperlink r:id="rId51" ref="G45"/>
    <hyperlink r:id="rId52" ref="G46"/>
    <hyperlink r:id="rId53" ref="G47"/>
    <hyperlink r:id="rId54" ref="E48"/>
    <hyperlink r:id="rId55" ref="G48"/>
    <hyperlink r:id="rId56" ref="E49"/>
    <hyperlink r:id="rId57" ref="G49"/>
    <hyperlink r:id="rId58" ref="E50"/>
    <hyperlink r:id="rId59" ref="G50"/>
    <hyperlink r:id="rId60" ref="G51"/>
    <hyperlink r:id="rId61" ref="G52"/>
    <hyperlink r:id="rId62" ref="G53"/>
    <hyperlink r:id="rId63" ref="G54"/>
    <hyperlink r:id="rId64" ref="G55"/>
    <hyperlink r:id="rId65" ref="G56"/>
    <hyperlink r:id="rId66" ref="G60"/>
    <hyperlink r:id="rId67" ref="G61"/>
    <hyperlink r:id="rId68" ref="G62"/>
    <hyperlink r:id="rId69" ref="G63"/>
    <hyperlink r:id="rId70" ref="G64"/>
    <hyperlink r:id="rId71" ref="G65"/>
    <hyperlink r:id="rId72" ref="G66"/>
    <hyperlink r:id="rId73" ref="G67"/>
    <hyperlink r:id="rId74" ref="E68"/>
    <hyperlink r:id="rId75" ref="G68"/>
    <hyperlink r:id="rId76" ref="E69"/>
    <hyperlink r:id="rId77" ref="G69"/>
    <hyperlink r:id="rId78" ref="E70"/>
    <hyperlink r:id="rId79" ref="G70"/>
    <hyperlink r:id="rId80" ref="E71"/>
    <hyperlink r:id="rId81" ref="G71"/>
    <hyperlink r:id="rId82" ref="E72"/>
    <hyperlink r:id="rId83" ref="G72"/>
    <hyperlink r:id="rId84" ref="G73"/>
    <hyperlink r:id="rId85" ref="E74"/>
    <hyperlink r:id="rId86" location=":~:text=Auf%20dem%20Grundst%C3%BCck%20des%20Biotops,als%20Schmetterlings%2D%20und%20Bienenweide%20umgewandelt." ref="G74"/>
    <hyperlink r:id="rId87" ref="E75"/>
    <hyperlink r:id="rId88" ref="G75"/>
    <hyperlink r:id="rId89" ref="E76"/>
    <hyperlink r:id="rId90" ref="G76"/>
    <hyperlink r:id="rId91" ref="G77"/>
    <hyperlink r:id="rId92" ref="E78"/>
    <hyperlink r:id="rId93" ref="G78"/>
    <hyperlink r:id="rId94" ref="E79"/>
    <hyperlink r:id="rId95" ref="G79"/>
    <hyperlink r:id="rId96" ref="D80"/>
    <hyperlink r:id="rId97" ref="G80"/>
    <hyperlink r:id="rId98" ref="G81"/>
    <hyperlink r:id="rId99" ref="G82"/>
    <hyperlink r:id="rId100" ref="G83"/>
    <hyperlink r:id="rId101" ref="G84"/>
    <hyperlink r:id="rId102" ref="G85"/>
    <hyperlink r:id="rId103" ref="G86"/>
    <hyperlink r:id="rId104" ref="G87"/>
    <hyperlink r:id="rId105" ref="E91"/>
    <hyperlink r:id="rId106" ref="G91"/>
    <hyperlink r:id="rId107" ref="G92"/>
    <hyperlink r:id="rId108" ref="G93"/>
    <hyperlink r:id="rId109" ref="G94"/>
    <hyperlink r:id="rId110" ref="E95"/>
    <hyperlink r:id="rId111" ref="G95"/>
    <hyperlink r:id="rId112" ref="G96"/>
    <hyperlink r:id="rId113" ref="E97"/>
    <hyperlink r:id="rId114" ref="G97"/>
    <hyperlink r:id="rId115" ref="E98"/>
    <hyperlink r:id="rId116" ref="G98"/>
    <hyperlink r:id="rId117" ref="G99"/>
    <hyperlink r:id="rId118" ref="G100"/>
    <hyperlink r:id="rId119" ref="G101"/>
    <hyperlink r:id="rId120" ref="E102"/>
    <hyperlink r:id="rId121" ref="G102"/>
    <hyperlink r:id="rId122" ref="G103"/>
    <hyperlink r:id="rId123" ref="E104"/>
    <hyperlink r:id="rId124" ref="G104"/>
    <hyperlink r:id="rId125" ref="G105"/>
    <hyperlink r:id="rId126" ref="E106"/>
    <hyperlink r:id="rId127" ref="G106"/>
    <hyperlink r:id="rId128" ref="E107"/>
    <hyperlink r:id="rId129" ref="G107"/>
    <hyperlink r:id="rId130" ref="G108"/>
    <hyperlink r:id="rId131" ref="G109"/>
    <hyperlink r:id="rId132" ref="E110"/>
    <hyperlink r:id="rId133" ref="G110"/>
    <hyperlink r:id="rId134" ref="G111"/>
    <hyperlink r:id="rId135" ref="G112"/>
    <hyperlink r:id="rId136" ref="G113"/>
    <hyperlink r:id="rId137" ref="E114"/>
    <hyperlink r:id="rId138" ref="G114"/>
  </hyperlinks>
  <drawing r:id="rId1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3" width="20.0"/>
    <col customWidth="1" min="4" max="4" width="35.0"/>
    <col customWidth="1" min="5" max="7" width="20.0"/>
    <col customWidth="1" min="8" max="9" width="25.0"/>
    <col customWidth="1" min="10" max="13" width="20.0"/>
    <col customWidth="1" min="14" max="14" width="30.0"/>
    <col customWidth="1" min="15" max="15" width="40.0"/>
    <col customWidth="1" min="16" max="16" width="20.0"/>
    <col customWidth="1" min="17" max="26" width="8.71"/>
  </cols>
  <sheetData>
    <row r="1">
      <c r="A1" s="2" t="s">
        <v>611</v>
      </c>
      <c r="B1" s="62" t="s">
        <v>612</v>
      </c>
      <c r="J1" s="63"/>
      <c r="K1" s="63"/>
    </row>
    <row r="2">
      <c r="J2" s="63"/>
      <c r="K2" s="63"/>
    </row>
    <row r="3">
      <c r="J3" s="63"/>
      <c r="K3" s="63"/>
    </row>
    <row r="4">
      <c r="A4" s="64" t="s">
        <v>7</v>
      </c>
      <c r="B4" s="64" t="s">
        <v>73</v>
      </c>
      <c r="C4" s="64" t="s">
        <v>9</v>
      </c>
      <c r="D4" s="64" t="s">
        <v>76</v>
      </c>
      <c r="E4" s="64" t="s">
        <v>613</v>
      </c>
      <c r="F4" s="64" t="s">
        <v>5</v>
      </c>
      <c r="G4" s="64" t="s">
        <v>75</v>
      </c>
      <c r="H4" s="64" t="s">
        <v>614</v>
      </c>
      <c r="I4" s="64" t="s">
        <v>615</v>
      </c>
      <c r="J4" s="64" t="s">
        <v>616</v>
      </c>
      <c r="K4" s="64" t="s">
        <v>617</v>
      </c>
      <c r="L4" s="64" t="s">
        <v>618</v>
      </c>
      <c r="M4" s="64" t="s">
        <v>619</v>
      </c>
      <c r="N4" s="64" t="s">
        <v>620</v>
      </c>
      <c r="O4" s="64" t="s">
        <v>621</v>
      </c>
      <c r="P4" s="64" t="s">
        <v>622</v>
      </c>
    </row>
    <row r="5">
      <c r="A5" s="4" t="s">
        <v>623</v>
      </c>
      <c r="B5" s="4" t="s">
        <v>624</v>
      </c>
      <c r="C5" s="4" t="s">
        <v>13</v>
      </c>
      <c r="D5" s="4" t="s">
        <v>625</v>
      </c>
      <c r="E5" s="4" t="s">
        <v>626</v>
      </c>
      <c r="F5" s="65" t="s">
        <v>11</v>
      </c>
      <c r="G5" s="4"/>
      <c r="H5" s="4"/>
      <c r="I5" s="4"/>
      <c r="J5" s="66"/>
      <c r="K5" s="67"/>
      <c r="L5" s="68"/>
      <c r="M5" s="4"/>
      <c r="N5" s="4"/>
      <c r="O5" s="4"/>
      <c r="P5" s="4"/>
    </row>
    <row r="6">
      <c r="A6" s="4" t="s">
        <v>95</v>
      </c>
      <c r="B6" s="4" t="s">
        <v>22</v>
      </c>
      <c r="C6" s="4" t="s">
        <v>21</v>
      </c>
      <c r="D6" s="4" t="s">
        <v>627</v>
      </c>
      <c r="E6" s="4" t="s">
        <v>626</v>
      </c>
      <c r="F6" s="65" t="s">
        <v>11</v>
      </c>
      <c r="G6" s="4"/>
      <c r="H6" s="4"/>
      <c r="I6" s="4"/>
      <c r="J6" s="66"/>
      <c r="K6" s="67"/>
      <c r="L6" s="68"/>
      <c r="M6" s="4"/>
      <c r="N6" s="4"/>
      <c r="O6" s="4"/>
      <c r="P6" s="4"/>
    </row>
    <row r="7">
      <c r="A7" s="4" t="s">
        <v>628</v>
      </c>
      <c r="B7" s="4" t="s">
        <v>30</v>
      </c>
      <c r="C7" s="4" t="s">
        <v>13</v>
      </c>
      <c r="D7" s="4" t="s">
        <v>629</v>
      </c>
      <c r="E7" s="4" t="s">
        <v>626</v>
      </c>
      <c r="F7" s="65" t="s">
        <v>11</v>
      </c>
      <c r="G7" s="4"/>
      <c r="H7" s="4"/>
      <c r="I7" s="4"/>
      <c r="J7" s="66"/>
      <c r="K7" s="67"/>
      <c r="L7" s="68"/>
      <c r="M7" s="4"/>
      <c r="N7" s="4"/>
      <c r="O7" s="4"/>
      <c r="P7" s="4"/>
    </row>
    <row r="8">
      <c r="A8" s="4" t="s">
        <v>630</v>
      </c>
      <c r="B8" s="4" t="s">
        <v>18</v>
      </c>
      <c r="C8" s="4" t="s">
        <v>17</v>
      </c>
      <c r="D8" s="4" t="s">
        <v>248</v>
      </c>
      <c r="E8" s="4" t="s">
        <v>626</v>
      </c>
      <c r="F8" s="65" t="s">
        <v>11</v>
      </c>
      <c r="G8" s="4"/>
      <c r="H8" s="4"/>
      <c r="I8" s="4"/>
      <c r="J8" s="66"/>
      <c r="K8" s="67"/>
      <c r="L8" s="68"/>
      <c r="M8" s="4"/>
      <c r="N8" s="4"/>
      <c r="O8" s="4"/>
      <c r="P8" s="4"/>
    </row>
    <row r="9">
      <c r="A9" s="4" t="s">
        <v>168</v>
      </c>
      <c r="B9" s="4" t="s">
        <v>33</v>
      </c>
      <c r="C9" s="4" t="s">
        <v>17</v>
      </c>
      <c r="D9" s="4" t="s">
        <v>631</v>
      </c>
      <c r="E9" s="4" t="s">
        <v>626</v>
      </c>
      <c r="F9" s="65" t="s">
        <v>11</v>
      </c>
      <c r="G9" s="4"/>
      <c r="H9" s="4"/>
      <c r="I9" s="4"/>
      <c r="J9" s="66"/>
      <c r="K9" s="67"/>
      <c r="L9" s="68"/>
      <c r="M9" s="4"/>
      <c r="N9" s="4"/>
      <c r="O9" s="4"/>
      <c r="P9" s="4"/>
    </row>
    <row r="10">
      <c r="A10" s="4" t="s">
        <v>632</v>
      </c>
      <c r="B10" s="4" t="s">
        <v>22</v>
      </c>
      <c r="C10" s="4" t="s">
        <v>13</v>
      </c>
      <c r="D10" s="4" t="s">
        <v>108</v>
      </c>
      <c r="E10" s="4" t="s">
        <v>626</v>
      </c>
      <c r="F10" s="65" t="s">
        <v>11</v>
      </c>
      <c r="G10" s="4"/>
      <c r="H10" s="4"/>
      <c r="I10" s="4"/>
      <c r="J10" s="66"/>
      <c r="K10" s="67"/>
      <c r="L10" s="68"/>
      <c r="M10" s="4"/>
      <c r="N10" s="4"/>
      <c r="O10" s="4"/>
      <c r="P10" s="4"/>
    </row>
    <row r="11">
      <c r="A11" s="4" t="s">
        <v>633</v>
      </c>
      <c r="B11" s="4" t="s">
        <v>22</v>
      </c>
      <c r="C11" s="4" t="s">
        <v>13</v>
      </c>
      <c r="D11" s="4" t="s">
        <v>103</v>
      </c>
      <c r="E11" s="4" t="s">
        <v>626</v>
      </c>
      <c r="F11" s="65" t="s">
        <v>11</v>
      </c>
      <c r="G11" s="4"/>
      <c r="H11" s="4"/>
      <c r="I11" s="4"/>
      <c r="J11" s="66"/>
      <c r="K11" s="67"/>
      <c r="L11" s="68"/>
      <c r="M11" s="4"/>
      <c r="N11" s="4"/>
      <c r="O11" s="4"/>
      <c r="P11" s="4"/>
    </row>
    <row r="12">
      <c r="A12" s="4" t="s">
        <v>634</v>
      </c>
      <c r="B12" s="4" t="s">
        <v>30</v>
      </c>
      <c r="C12" s="4" t="s">
        <v>13</v>
      </c>
      <c r="D12" s="4" t="s">
        <v>332</v>
      </c>
      <c r="E12" s="4" t="s">
        <v>626</v>
      </c>
      <c r="F12" s="65" t="s">
        <v>11</v>
      </c>
      <c r="G12" s="4"/>
      <c r="H12" s="4"/>
      <c r="I12" s="4"/>
      <c r="J12" s="66"/>
      <c r="K12" s="67"/>
      <c r="L12" s="68"/>
      <c r="M12" s="4"/>
      <c r="N12" s="4"/>
      <c r="O12" s="4"/>
      <c r="P12" s="4"/>
    </row>
    <row r="13">
      <c r="A13" s="4" t="s">
        <v>635</v>
      </c>
      <c r="B13" s="4" t="s">
        <v>26</v>
      </c>
      <c r="C13" s="4" t="s">
        <v>13</v>
      </c>
      <c r="D13" s="4" t="s">
        <v>636</v>
      </c>
      <c r="E13" s="4" t="s">
        <v>626</v>
      </c>
      <c r="F13" s="65" t="s">
        <v>11</v>
      </c>
      <c r="G13" s="4"/>
      <c r="H13" s="4"/>
      <c r="I13" s="4"/>
      <c r="J13" s="66"/>
      <c r="K13" s="67"/>
      <c r="L13" s="68"/>
      <c r="M13" s="4"/>
      <c r="N13" s="4"/>
      <c r="O13" s="4"/>
      <c r="P13" s="4"/>
    </row>
    <row r="14">
      <c r="A14" s="4" t="s">
        <v>637</v>
      </c>
      <c r="B14" s="4" t="s">
        <v>33</v>
      </c>
      <c r="C14" s="4" t="s">
        <v>13</v>
      </c>
      <c r="D14" s="4" t="s">
        <v>638</v>
      </c>
      <c r="E14" s="4" t="s">
        <v>626</v>
      </c>
      <c r="F14" s="65" t="s">
        <v>11</v>
      </c>
      <c r="G14" s="4"/>
      <c r="H14" s="4"/>
      <c r="I14" s="4"/>
      <c r="J14" s="66"/>
      <c r="K14" s="67"/>
      <c r="L14" s="68"/>
      <c r="M14" s="4"/>
      <c r="N14" s="4"/>
      <c r="O14" s="4"/>
      <c r="P14" s="4"/>
    </row>
    <row r="15">
      <c r="A15" s="4" t="s">
        <v>639</v>
      </c>
      <c r="B15" s="4" t="s">
        <v>163</v>
      </c>
      <c r="C15" s="4" t="s">
        <v>13</v>
      </c>
      <c r="D15" s="4" t="s">
        <v>640</v>
      </c>
      <c r="E15" s="4" t="s">
        <v>626</v>
      </c>
      <c r="F15" s="65" t="s">
        <v>11</v>
      </c>
      <c r="G15" s="4"/>
      <c r="H15" s="4"/>
      <c r="I15" s="4"/>
      <c r="J15" s="66"/>
      <c r="K15" s="67"/>
      <c r="L15" s="68"/>
      <c r="M15" s="4"/>
      <c r="N15" s="4"/>
      <c r="O15" s="4"/>
      <c r="P15" s="4"/>
    </row>
    <row r="16">
      <c r="A16" s="4" t="s">
        <v>641</v>
      </c>
      <c r="B16" s="4" t="s">
        <v>30</v>
      </c>
      <c r="C16" s="4" t="s">
        <v>13</v>
      </c>
      <c r="D16" s="4" t="s">
        <v>642</v>
      </c>
      <c r="E16" s="4" t="s">
        <v>626</v>
      </c>
      <c r="F16" s="65" t="s">
        <v>27</v>
      </c>
      <c r="G16" s="11" t="s">
        <v>643</v>
      </c>
      <c r="H16" s="11" t="s">
        <v>28</v>
      </c>
      <c r="I16" s="11" t="s">
        <v>12</v>
      </c>
      <c r="J16" s="69">
        <v>46056.0</v>
      </c>
      <c r="K16" s="70">
        <v>0.4166666666666667</v>
      </c>
      <c r="L16" s="68"/>
      <c r="M16" s="11" t="s">
        <v>644</v>
      </c>
      <c r="N16" s="4"/>
      <c r="O16" s="4"/>
      <c r="P16" s="4"/>
    </row>
    <row r="17">
      <c r="A17" s="4" t="s">
        <v>645</v>
      </c>
      <c r="B17" s="4" t="s">
        <v>18</v>
      </c>
      <c r="C17" s="4" t="s">
        <v>25</v>
      </c>
      <c r="D17" s="4" t="s">
        <v>646</v>
      </c>
      <c r="E17" s="4" t="s">
        <v>626</v>
      </c>
      <c r="F17" s="65" t="s">
        <v>11</v>
      </c>
      <c r="G17" s="4"/>
      <c r="H17" s="4"/>
      <c r="I17" s="4"/>
      <c r="J17" s="66"/>
      <c r="K17" s="67"/>
      <c r="L17" s="68"/>
      <c r="M17" s="4"/>
      <c r="N17" s="4"/>
      <c r="O17" s="4"/>
      <c r="P17" s="4"/>
    </row>
    <row r="18">
      <c r="A18" s="4" t="s">
        <v>60</v>
      </c>
      <c r="B18" s="4" t="s">
        <v>30</v>
      </c>
      <c r="C18" s="4" t="s">
        <v>13</v>
      </c>
      <c r="D18" s="4" t="s">
        <v>647</v>
      </c>
      <c r="E18" s="4" t="s">
        <v>648</v>
      </c>
      <c r="F18" s="65" t="s">
        <v>23</v>
      </c>
      <c r="G18" s="11" t="s">
        <v>59</v>
      </c>
      <c r="H18" s="11" t="s">
        <v>20</v>
      </c>
      <c r="I18" s="11" t="s">
        <v>28</v>
      </c>
      <c r="J18" s="69">
        <v>46057.0</v>
      </c>
      <c r="K18" s="70">
        <v>0.6666666666666666</v>
      </c>
      <c r="L18" s="68"/>
      <c r="M18" s="11" t="s">
        <v>644</v>
      </c>
      <c r="N18" s="4"/>
      <c r="O18" s="4"/>
      <c r="P18" s="4"/>
    </row>
    <row r="19">
      <c r="A19" s="4" t="s">
        <v>649</v>
      </c>
      <c r="B19" s="4" t="s">
        <v>22</v>
      </c>
      <c r="C19" s="4" t="s">
        <v>29</v>
      </c>
      <c r="D19" s="4" t="s">
        <v>650</v>
      </c>
      <c r="E19" s="4" t="s">
        <v>648</v>
      </c>
      <c r="F19" s="65" t="s">
        <v>11</v>
      </c>
      <c r="G19" s="4"/>
      <c r="H19" s="4"/>
      <c r="I19" s="4"/>
      <c r="J19" s="66"/>
      <c r="K19" s="67"/>
      <c r="L19" s="68"/>
      <c r="M19" s="4"/>
      <c r="N19" s="4"/>
      <c r="O19" s="4"/>
      <c r="P19" s="4"/>
    </row>
    <row r="20">
      <c r="A20" s="4" t="s">
        <v>555</v>
      </c>
      <c r="B20" s="4" t="s">
        <v>30</v>
      </c>
      <c r="C20" s="4" t="s">
        <v>29</v>
      </c>
      <c r="D20" s="4" t="s">
        <v>651</v>
      </c>
      <c r="E20" s="4" t="s">
        <v>648</v>
      </c>
      <c r="F20" s="65" t="s">
        <v>11</v>
      </c>
      <c r="G20" s="4"/>
      <c r="H20" s="4"/>
      <c r="I20" s="4"/>
      <c r="J20" s="66"/>
      <c r="K20" s="67"/>
      <c r="L20" s="68"/>
      <c r="M20" s="4"/>
      <c r="N20" s="4"/>
      <c r="O20" s="4"/>
      <c r="P20" s="4"/>
    </row>
    <row r="21" ht="15.75" customHeight="1">
      <c r="A21" s="4" t="s">
        <v>652</v>
      </c>
      <c r="B21" s="4" t="s">
        <v>430</v>
      </c>
      <c r="C21" s="4" t="s">
        <v>330</v>
      </c>
      <c r="D21" s="4" t="s">
        <v>653</v>
      </c>
      <c r="E21" s="4" t="s">
        <v>648</v>
      </c>
      <c r="F21" s="65" t="s">
        <v>11</v>
      </c>
      <c r="G21" s="4"/>
      <c r="H21" s="4"/>
      <c r="I21" s="4"/>
      <c r="J21" s="66"/>
      <c r="K21" s="67"/>
      <c r="L21" s="68"/>
      <c r="M21" s="4"/>
      <c r="N21" s="4"/>
      <c r="O21" s="4"/>
      <c r="P21" s="4"/>
    </row>
    <row r="22" ht="15.75" customHeight="1">
      <c r="A22" s="4" t="s">
        <v>654</v>
      </c>
      <c r="B22" s="4" t="s">
        <v>655</v>
      </c>
      <c r="C22" s="4" t="s">
        <v>139</v>
      </c>
      <c r="D22" s="4" t="s">
        <v>656</v>
      </c>
      <c r="E22" s="4" t="s">
        <v>648</v>
      </c>
      <c r="F22" s="65" t="s">
        <v>11</v>
      </c>
      <c r="G22" s="4"/>
      <c r="H22" s="4"/>
      <c r="I22" s="4"/>
      <c r="J22" s="66"/>
      <c r="K22" s="67"/>
      <c r="L22" s="68"/>
      <c r="M22" s="4"/>
      <c r="N22" s="4"/>
      <c r="O22" s="4"/>
      <c r="P22" s="4"/>
    </row>
    <row r="23" ht="15.75" customHeight="1">
      <c r="A23" s="4" t="s">
        <v>657</v>
      </c>
      <c r="B23" s="4" t="s">
        <v>26</v>
      </c>
      <c r="C23" s="4" t="s">
        <v>21</v>
      </c>
      <c r="D23" s="4" t="s">
        <v>658</v>
      </c>
      <c r="E23" s="4" t="s">
        <v>648</v>
      </c>
      <c r="F23" s="65" t="s">
        <v>11</v>
      </c>
      <c r="G23" s="4"/>
      <c r="H23" s="4"/>
      <c r="I23" s="4"/>
      <c r="J23" s="66"/>
      <c r="K23" s="67"/>
      <c r="L23" s="68"/>
      <c r="M23" s="4"/>
      <c r="N23" s="4"/>
      <c r="O23" s="4"/>
      <c r="P23" s="4"/>
    </row>
    <row r="24" ht="15.75" customHeight="1">
      <c r="A24" s="4" t="s">
        <v>659</v>
      </c>
      <c r="B24" s="4" t="s">
        <v>101</v>
      </c>
      <c r="C24" s="4" t="s">
        <v>17</v>
      </c>
      <c r="D24" s="4" t="s">
        <v>660</v>
      </c>
      <c r="E24" s="4" t="s">
        <v>648</v>
      </c>
      <c r="F24" s="65" t="s">
        <v>11</v>
      </c>
      <c r="G24" s="4"/>
      <c r="H24" s="4"/>
      <c r="I24" s="4"/>
      <c r="J24" s="66"/>
      <c r="K24" s="67"/>
      <c r="L24" s="68"/>
      <c r="M24" s="4"/>
      <c r="N24" s="4"/>
      <c r="O24" s="4"/>
      <c r="P24" s="4"/>
    </row>
    <row r="25" ht="15.75" customHeight="1">
      <c r="A25" s="4" t="s">
        <v>661</v>
      </c>
      <c r="B25" s="4" t="s">
        <v>26</v>
      </c>
      <c r="C25" s="4" t="s">
        <v>13</v>
      </c>
      <c r="D25" s="4" t="s">
        <v>662</v>
      </c>
      <c r="E25" s="4" t="s">
        <v>648</v>
      </c>
      <c r="F25" s="65" t="s">
        <v>11</v>
      </c>
      <c r="G25" s="4"/>
      <c r="H25" s="4"/>
      <c r="I25" s="4"/>
      <c r="J25" s="66"/>
      <c r="K25" s="67"/>
      <c r="L25" s="68"/>
      <c r="M25" s="4"/>
      <c r="N25" s="4"/>
      <c r="O25" s="4"/>
      <c r="P25" s="4"/>
    </row>
    <row r="26" ht="15.75" customHeight="1">
      <c r="A26" s="4" t="s">
        <v>663</v>
      </c>
      <c r="B26" s="4" t="s">
        <v>33</v>
      </c>
      <c r="C26" s="4" t="s">
        <v>13</v>
      </c>
      <c r="D26" s="4" t="s">
        <v>664</v>
      </c>
      <c r="E26" s="4" t="s">
        <v>648</v>
      </c>
      <c r="F26" s="65" t="s">
        <v>11</v>
      </c>
      <c r="G26" s="4"/>
      <c r="H26" s="4"/>
      <c r="I26" s="4"/>
      <c r="J26" s="66"/>
      <c r="K26" s="67"/>
      <c r="L26" s="68"/>
      <c r="M26" s="4"/>
      <c r="N26" s="4"/>
      <c r="O26" s="4"/>
      <c r="P26" s="4"/>
    </row>
    <row r="27" ht="15.75" customHeight="1">
      <c r="A27" s="4" t="s">
        <v>665</v>
      </c>
      <c r="B27" s="4" t="s">
        <v>18</v>
      </c>
      <c r="C27" s="4" t="s">
        <v>35</v>
      </c>
      <c r="D27" s="4" t="s">
        <v>666</v>
      </c>
      <c r="E27" s="4" t="s">
        <v>648</v>
      </c>
      <c r="F27" s="65" t="s">
        <v>11</v>
      </c>
      <c r="G27" s="4"/>
      <c r="H27" s="4"/>
      <c r="I27" s="4"/>
      <c r="J27" s="66"/>
      <c r="K27" s="67"/>
      <c r="L27" s="68"/>
      <c r="M27" s="4"/>
      <c r="N27" s="4"/>
      <c r="O27" s="4"/>
      <c r="P27" s="4"/>
    </row>
    <row r="28" ht="15.75" customHeight="1">
      <c r="A28" s="4" t="s">
        <v>667</v>
      </c>
      <c r="B28" s="4" t="s">
        <v>258</v>
      </c>
      <c r="C28" s="4" t="s">
        <v>174</v>
      </c>
      <c r="D28" s="4" t="s">
        <v>668</v>
      </c>
      <c r="E28" s="4" t="s">
        <v>648</v>
      </c>
      <c r="F28" s="65" t="s">
        <v>669</v>
      </c>
      <c r="G28" s="4"/>
      <c r="H28" s="4"/>
      <c r="I28" s="4"/>
      <c r="J28" s="66"/>
      <c r="K28" s="67"/>
      <c r="L28" s="68"/>
      <c r="M28" s="4"/>
      <c r="N28" s="4"/>
      <c r="O28" s="4"/>
      <c r="P28" s="4"/>
    </row>
    <row r="29" ht="15.75" customHeight="1">
      <c r="A29" s="4" t="s">
        <v>670</v>
      </c>
      <c r="B29" s="4" t="s">
        <v>258</v>
      </c>
      <c r="C29" s="4" t="s">
        <v>297</v>
      </c>
      <c r="D29" s="4" t="s">
        <v>671</v>
      </c>
      <c r="E29" s="4" t="s">
        <v>648</v>
      </c>
      <c r="F29" s="65" t="s">
        <v>669</v>
      </c>
      <c r="G29" s="4"/>
      <c r="H29" s="4"/>
      <c r="I29" s="4"/>
      <c r="J29" s="66"/>
      <c r="K29" s="67"/>
      <c r="L29" s="68"/>
      <c r="M29" s="4"/>
      <c r="N29" s="4"/>
      <c r="O29" s="4"/>
      <c r="P29" s="4"/>
    </row>
    <row r="30" ht="15.75" customHeight="1">
      <c r="A30" s="4" t="s">
        <v>672</v>
      </c>
      <c r="B30" s="4" t="s">
        <v>26</v>
      </c>
      <c r="C30" s="4" t="s">
        <v>207</v>
      </c>
      <c r="D30" s="4" t="s">
        <v>673</v>
      </c>
      <c r="E30" s="4" t="s">
        <v>648</v>
      </c>
      <c r="F30" s="65" t="s">
        <v>11</v>
      </c>
      <c r="G30" s="4"/>
      <c r="H30" s="4"/>
      <c r="I30" s="4"/>
      <c r="J30" s="66"/>
      <c r="K30" s="67"/>
      <c r="L30" s="68"/>
      <c r="M30" s="4"/>
      <c r="N30" s="4"/>
      <c r="O30" s="4"/>
      <c r="P30" s="4"/>
    </row>
    <row r="31" ht="15.75" customHeight="1">
      <c r="A31" s="4" t="s">
        <v>674</v>
      </c>
      <c r="B31" s="4" t="s">
        <v>655</v>
      </c>
      <c r="C31" s="4" t="s">
        <v>313</v>
      </c>
      <c r="D31" s="4" t="s">
        <v>675</v>
      </c>
      <c r="E31" s="4" t="s">
        <v>648</v>
      </c>
      <c r="F31" s="65" t="s">
        <v>669</v>
      </c>
      <c r="G31" s="4"/>
      <c r="H31" s="4"/>
      <c r="I31" s="4"/>
      <c r="J31" s="66"/>
      <c r="K31" s="67"/>
      <c r="L31" s="68"/>
      <c r="M31" s="4"/>
      <c r="N31" s="4"/>
      <c r="O31" s="4"/>
      <c r="P31" s="4"/>
    </row>
    <row r="32" ht="15.75" customHeight="1">
      <c r="A32" s="4" t="s">
        <v>676</v>
      </c>
      <c r="B32" s="4" t="s">
        <v>391</v>
      </c>
      <c r="C32" s="4" t="s">
        <v>13</v>
      </c>
      <c r="D32" s="4" t="s">
        <v>677</v>
      </c>
      <c r="E32" s="4" t="s">
        <v>678</v>
      </c>
      <c r="F32" s="65" t="s">
        <v>11</v>
      </c>
      <c r="G32" s="4"/>
      <c r="H32" s="4"/>
      <c r="I32" s="4"/>
      <c r="J32" s="66"/>
      <c r="K32" s="67"/>
      <c r="L32" s="68"/>
      <c r="M32" s="4"/>
      <c r="N32" s="4"/>
      <c r="O32" s="4"/>
      <c r="P32" s="4"/>
    </row>
    <row r="33" ht="15.75" customHeight="1">
      <c r="A33" s="4" t="s">
        <v>679</v>
      </c>
      <c r="B33" s="4" t="s">
        <v>14</v>
      </c>
      <c r="C33" s="4" t="s">
        <v>32</v>
      </c>
      <c r="D33" s="4" t="s">
        <v>680</v>
      </c>
      <c r="E33" s="4" t="s">
        <v>678</v>
      </c>
      <c r="F33" s="65" t="s">
        <v>11</v>
      </c>
      <c r="G33" s="4"/>
      <c r="H33" s="4"/>
      <c r="I33" s="4"/>
      <c r="J33" s="66"/>
      <c r="K33" s="67"/>
      <c r="L33" s="68"/>
      <c r="M33" s="4"/>
      <c r="N33" s="4"/>
      <c r="O33" s="4"/>
      <c r="P33" s="4"/>
    </row>
    <row r="34" ht="15.75" customHeight="1">
      <c r="A34" s="4" t="s">
        <v>681</v>
      </c>
      <c r="B34" s="4" t="s">
        <v>14</v>
      </c>
      <c r="C34" s="4" t="s">
        <v>470</v>
      </c>
      <c r="D34" s="4" t="s">
        <v>682</v>
      </c>
      <c r="E34" s="4" t="s">
        <v>678</v>
      </c>
      <c r="F34" s="65" t="s">
        <v>11</v>
      </c>
      <c r="G34" s="4"/>
      <c r="H34" s="4"/>
      <c r="I34" s="4"/>
      <c r="J34" s="66"/>
      <c r="K34" s="67"/>
      <c r="L34" s="68"/>
      <c r="M34" s="4"/>
      <c r="N34" s="4"/>
      <c r="O34" s="4"/>
      <c r="P34" s="4"/>
    </row>
    <row r="35" ht="15.75" customHeight="1">
      <c r="A35" s="4" t="s">
        <v>683</v>
      </c>
      <c r="B35" s="4" t="s">
        <v>14</v>
      </c>
      <c r="C35" s="4" t="s">
        <v>153</v>
      </c>
      <c r="D35" s="4" t="s">
        <v>684</v>
      </c>
      <c r="E35" s="4" t="s">
        <v>678</v>
      </c>
      <c r="F35" s="65" t="s">
        <v>11</v>
      </c>
      <c r="G35" s="4"/>
      <c r="H35" s="4"/>
      <c r="I35" s="4"/>
      <c r="J35" s="66"/>
      <c r="K35" s="67"/>
      <c r="L35" s="68"/>
      <c r="M35" s="4"/>
      <c r="N35" s="4"/>
      <c r="O35" s="4"/>
      <c r="P35" s="4"/>
    </row>
    <row r="36" ht="15.75" customHeight="1">
      <c r="A36" s="4" t="s">
        <v>685</v>
      </c>
      <c r="B36" s="4" t="s">
        <v>430</v>
      </c>
      <c r="C36" s="4" t="s">
        <v>686</v>
      </c>
      <c r="D36" s="4" t="s">
        <v>687</v>
      </c>
      <c r="E36" s="4" t="s">
        <v>678</v>
      </c>
      <c r="F36" s="65" t="s">
        <v>11</v>
      </c>
      <c r="G36" s="4"/>
      <c r="H36" s="4"/>
      <c r="I36" s="4"/>
      <c r="J36" s="66"/>
      <c r="K36" s="67"/>
      <c r="L36" s="68"/>
      <c r="M36" s="4"/>
      <c r="N36" s="4"/>
      <c r="O36" s="4"/>
      <c r="P36" s="4"/>
    </row>
    <row r="37" ht="15.75" customHeight="1">
      <c r="A37" s="4" t="s">
        <v>688</v>
      </c>
      <c r="B37" s="4" t="s">
        <v>14</v>
      </c>
      <c r="C37" s="4" t="s">
        <v>180</v>
      </c>
      <c r="D37" s="4" t="s">
        <v>689</v>
      </c>
      <c r="E37" s="4" t="s">
        <v>678</v>
      </c>
      <c r="F37" s="65" t="s">
        <v>11</v>
      </c>
      <c r="G37" s="4"/>
      <c r="H37" s="4"/>
      <c r="I37" s="4"/>
      <c r="J37" s="66"/>
      <c r="K37" s="67"/>
      <c r="L37" s="68"/>
      <c r="M37" s="4"/>
      <c r="N37" s="4"/>
      <c r="O37" s="4"/>
      <c r="P37" s="4"/>
    </row>
    <row r="38" ht="15.75" customHeight="1">
      <c r="A38" s="4" t="s">
        <v>690</v>
      </c>
      <c r="B38" s="4" t="s">
        <v>14</v>
      </c>
      <c r="C38" s="4" t="s">
        <v>32</v>
      </c>
      <c r="D38" s="4" t="s">
        <v>680</v>
      </c>
      <c r="E38" s="4" t="s">
        <v>678</v>
      </c>
      <c r="F38" s="65" t="s">
        <v>11</v>
      </c>
      <c r="G38" s="4"/>
      <c r="H38" s="4"/>
      <c r="I38" s="4"/>
      <c r="J38" s="66"/>
      <c r="K38" s="67"/>
      <c r="L38" s="68"/>
      <c r="M38" s="4"/>
      <c r="N38" s="4"/>
      <c r="O38" s="4"/>
      <c r="P38" s="4"/>
    </row>
    <row r="39" ht="15.75" customHeight="1">
      <c r="A39" s="4" t="s">
        <v>691</v>
      </c>
      <c r="B39" s="4" t="s">
        <v>26</v>
      </c>
      <c r="C39" s="4" t="s">
        <v>25</v>
      </c>
      <c r="D39" s="4" t="s">
        <v>692</v>
      </c>
      <c r="E39" s="4" t="s">
        <v>678</v>
      </c>
      <c r="F39" s="65" t="s">
        <v>11</v>
      </c>
      <c r="G39" s="4"/>
      <c r="H39" s="4"/>
      <c r="I39" s="4"/>
      <c r="J39" s="66"/>
      <c r="K39" s="67"/>
      <c r="L39" s="68"/>
      <c r="M39" s="4"/>
      <c r="N39" s="4"/>
      <c r="O39" s="4"/>
      <c r="P39" s="4"/>
    </row>
    <row r="40" ht="15.75" customHeight="1">
      <c r="A40" s="4" t="s">
        <v>693</v>
      </c>
      <c r="B40" s="4" t="s">
        <v>36</v>
      </c>
      <c r="C40" s="4" t="s">
        <v>29</v>
      </c>
      <c r="D40" s="4" t="s">
        <v>228</v>
      </c>
      <c r="E40" s="4" t="s">
        <v>678</v>
      </c>
      <c r="F40" s="65" t="s">
        <v>11</v>
      </c>
      <c r="G40" s="4"/>
      <c r="H40" s="4"/>
      <c r="I40" s="4"/>
      <c r="J40" s="66"/>
      <c r="K40" s="67"/>
      <c r="L40" s="68"/>
      <c r="M40" s="4"/>
      <c r="N40" s="4"/>
      <c r="O40" s="4"/>
      <c r="P40" s="4"/>
    </row>
    <row r="41" ht="15.75" customHeight="1">
      <c r="A41" s="4" t="s">
        <v>694</v>
      </c>
      <c r="B41" s="4" t="s">
        <v>14</v>
      </c>
      <c r="C41" s="4" t="s">
        <v>207</v>
      </c>
      <c r="D41" s="4" t="s">
        <v>695</v>
      </c>
      <c r="E41" s="4" t="s">
        <v>678</v>
      </c>
      <c r="F41" s="65" t="s">
        <v>11</v>
      </c>
      <c r="G41" s="4"/>
      <c r="H41" s="4"/>
      <c r="I41" s="4"/>
      <c r="J41" s="66"/>
      <c r="K41" s="67"/>
      <c r="L41" s="68"/>
      <c r="M41" s="4"/>
      <c r="N41" s="4"/>
      <c r="O41" s="4"/>
      <c r="P41" s="4"/>
    </row>
    <row r="42" ht="15.75" customHeight="1">
      <c r="A42" s="4" t="s">
        <v>696</v>
      </c>
      <c r="B42" s="4" t="s">
        <v>18</v>
      </c>
      <c r="C42" s="4" t="s">
        <v>21</v>
      </c>
      <c r="D42" s="4" t="s">
        <v>697</v>
      </c>
      <c r="E42" s="4" t="s">
        <v>678</v>
      </c>
      <c r="F42" s="65" t="s">
        <v>11</v>
      </c>
      <c r="G42" s="4"/>
      <c r="H42" s="4"/>
      <c r="I42" s="4"/>
      <c r="J42" s="66"/>
      <c r="K42" s="67"/>
      <c r="L42" s="68"/>
      <c r="M42" s="4"/>
      <c r="N42" s="4"/>
      <c r="O42" s="4"/>
      <c r="P42" s="4"/>
    </row>
    <row r="43" ht="15.75" customHeight="1">
      <c r="A43" s="4" t="s">
        <v>698</v>
      </c>
      <c r="B43" s="4" t="s">
        <v>18</v>
      </c>
      <c r="C43" s="4" t="s">
        <v>21</v>
      </c>
      <c r="D43" s="4" t="s">
        <v>699</v>
      </c>
      <c r="E43" s="4" t="s">
        <v>678</v>
      </c>
      <c r="F43" s="65" t="s">
        <v>11</v>
      </c>
      <c r="G43" s="4"/>
      <c r="H43" s="4"/>
      <c r="I43" s="4"/>
      <c r="J43" s="66"/>
      <c r="K43" s="67"/>
      <c r="L43" s="68"/>
      <c r="M43" s="4"/>
      <c r="N43" s="4"/>
      <c r="O43" s="4"/>
      <c r="P43" s="4"/>
    </row>
    <row r="44" ht="15.75" customHeight="1">
      <c r="A44" s="4" t="s">
        <v>475</v>
      </c>
      <c r="B44" s="4" t="s">
        <v>14</v>
      </c>
      <c r="C44" s="4" t="s">
        <v>25</v>
      </c>
      <c r="D44" s="4" t="s">
        <v>478</v>
      </c>
      <c r="E44" s="4" t="s">
        <v>678</v>
      </c>
      <c r="F44" s="65" t="s">
        <v>11</v>
      </c>
      <c r="G44" s="4"/>
      <c r="H44" s="4"/>
      <c r="I44" s="4"/>
      <c r="J44" s="66"/>
      <c r="K44" s="67"/>
      <c r="L44" s="68"/>
      <c r="M44" s="4"/>
      <c r="N44" s="4"/>
      <c r="O44" s="4"/>
      <c r="P44" s="4"/>
    </row>
    <row r="45" ht="15.75" customHeight="1">
      <c r="A45" s="4" t="s">
        <v>700</v>
      </c>
      <c r="B45" s="4" t="s">
        <v>14</v>
      </c>
      <c r="C45" s="4" t="s">
        <v>32</v>
      </c>
      <c r="D45" s="4" t="s">
        <v>680</v>
      </c>
      <c r="E45" s="4" t="s">
        <v>678</v>
      </c>
      <c r="F45" s="65" t="s">
        <v>11</v>
      </c>
      <c r="G45" s="4"/>
      <c r="H45" s="4"/>
      <c r="I45" s="4"/>
      <c r="J45" s="66"/>
      <c r="K45" s="67"/>
      <c r="L45" s="68"/>
      <c r="M45" s="4"/>
      <c r="N45" s="4"/>
      <c r="O45" s="4"/>
      <c r="P45" s="4"/>
    </row>
    <row r="46" ht="15.75" customHeight="1">
      <c r="A46" s="4" t="s">
        <v>701</v>
      </c>
      <c r="B46" s="4" t="s">
        <v>22</v>
      </c>
      <c r="C46" s="4" t="s">
        <v>17</v>
      </c>
      <c r="D46" s="4" t="s">
        <v>702</v>
      </c>
      <c r="E46" s="4" t="s">
        <v>703</v>
      </c>
      <c r="F46" s="65" t="s">
        <v>11</v>
      </c>
      <c r="G46" s="4"/>
      <c r="H46" s="4"/>
      <c r="I46" s="4"/>
      <c r="J46" s="66"/>
      <c r="K46" s="67"/>
      <c r="L46" s="68"/>
      <c r="M46" s="4"/>
      <c r="N46" s="4"/>
      <c r="O46" s="4"/>
      <c r="P46" s="4"/>
    </row>
    <row r="47" ht="15.75" customHeight="1">
      <c r="A47" s="4" t="s">
        <v>704</v>
      </c>
      <c r="B47" s="4" t="s">
        <v>22</v>
      </c>
      <c r="C47" s="4" t="s">
        <v>17</v>
      </c>
      <c r="D47" s="4" t="s">
        <v>705</v>
      </c>
      <c r="E47" s="4" t="s">
        <v>703</v>
      </c>
      <c r="F47" s="65" t="s">
        <v>11</v>
      </c>
      <c r="G47" s="4"/>
      <c r="H47" s="4"/>
      <c r="I47" s="4"/>
      <c r="J47" s="66"/>
      <c r="K47" s="67"/>
      <c r="L47" s="68"/>
      <c r="M47" s="4"/>
      <c r="N47" s="4"/>
      <c r="O47" s="4"/>
      <c r="P47" s="4"/>
    </row>
    <row r="48" ht="15.75" customHeight="1">
      <c r="A48" s="4" t="s">
        <v>706</v>
      </c>
      <c r="B48" s="4" t="s">
        <v>18</v>
      </c>
      <c r="C48" s="4" t="s">
        <v>707</v>
      </c>
      <c r="D48" s="4" t="s">
        <v>708</v>
      </c>
      <c r="E48" s="4" t="s">
        <v>703</v>
      </c>
      <c r="F48" s="65" t="s">
        <v>669</v>
      </c>
      <c r="G48" s="4"/>
      <c r="H48" s="4"/>
      <c r="I48" s="4"/>
      <c r="J48" s="66"/>
      <c r="K48" s="67"/>
      <c r="L48" s="68"/>
      <c r="M48" s="4"/>
      <c r="N48" s="4"/>
      <c r="O48" s="4"/>
      <c r="P48" s="4"/>
    </row>
    <row r="49" ht="15.75" customHeight="1">
      <c r="A49" s="4" t="s">
        <v>709</v>
      </c>
      <c r="B49" s="4" t="s">
        <v>18</v>
      </c>
      <c r="C49" s="4" t="s">
        <v>710</v>
      </c>
      <c r="D49" s="4" t="s">
        <v>711</v>
      </c>
      <c r="E49" s="4" t="s">
        <v>703</v>
      </c>
      <c r="F49" s="65" t="s">
        <v>669</v>
      </c>
      <c r="G49" s="4"/>
      <c r="H49" s="4"/>
      <c r="I49" s="4"/>
      <c r="J49" s="66"/>
      <c r="K49" s="67"/>
      <c r="L49" s="68"/>
      <c r="M49" s="4"/>
      <c r="N49" s="4"/>
      <c r="O49" s="4"/>
      <c r="P49" s="4"/>
    </row>
    <row r="50" ht="15.75" customHeight="1">
      <c r="A50" s="4" t="s">
        <v>712</v>
      </c>
      <c r="B50" s="4" t="s">
        <v>18</v>
      </c>
      <c r="C50" s="4" t="s">
        <v>713</v>
      </c>
      <c r="D50" s="4" t="s">
        <v>714</v>
      </c>
      <c r="E50" s="4" t="s">
        <v>703</v>
      </c>
      <c r="F50" s="65" t="s">
        <v>669</v>
      </c>
      <c r="G50" s="4"/>
      <c r="H50" s="4"/>
      <c r="I50" s="4"/>
      <c r="J50" s="66"/>
      <c r="K50" s="67"/>
      <c r="L50" s="68"/>
      <c r="M50" s="4"/>
      <c r="N50" s="4"/>
      <c r="O50" s="4"/>
      <c r="P50" s="4"/>
    </row>
    <row r="51" ht="15.75" customHeight="1">
      <c r="A51" s="4" t="s">
        <v>715</v>
      </c>
      <c r="B51" s="4" t="s">
        <v>36</v>
      </c>
      <c r="C51" s="4" t="s">
        <v>686</v>
      </c>
      <c r="D51" s="4" t="s">
        <v>716</v>
      </c>
      <c r="E51" s="4" t="s">
        <v>703</v>
      </c>
      <c r="F51" s="65" t="s">
        <v>34</v>
      </c>
      <c r="G51" s="4"/>
      <c r="H51" s="4"/>
      <c r="I51" s="4"/>
      <c r="J51" s="66"/>
      <c r="K51" s="67"/>
      <c r="L51" s="68"/>
      <c r="M51" s="4"/>
      <c r="N51" s="4"/>
      <c r="O51" s="4"/>
      <c r="P51" s="4"/>
    </row>
    <row r="52" ht="15.75" customHeight="1">
      <c r="A52" s="4" t="s">
        <v>717</v>
      </c>
      <c r="B52" s="4" t="s">
        <v>101</v>
      </c>
      <c r="C52" s="4" t="s">
        <v>470</v>
      </c>
      <c r="D52" s="4" t="s">
        <v>718</v>
      </c>
      <c r="E52" s="4" t="s">
        <v>703</v>
      </c>
      <c r="F52" s="65" t="s">
        <v>11</v>
      </c>
      <c r="G52" s="4"/>
      <c r="H52" s="4"/>
      <c r="I52" s="4"/>
      <c r="J52" s="66"/>
      <c r="K52" s="67"/>
      <c r="L52" s="68"/>
      <c r="M52" s="4"/>
      <c r="N52" s="4"/>
      <c r="O52" s="4"/>
      <c r="P52" s="4"/>
    </row>
    <row r="53" ht="15.75" customHeight="1">
      <c r="A53" s="4" t="s">
        <v>719</v>
      </c>
      <c r="B53" s="4" t="s">
        <v>33</v>
      </c>
      <c r="C53" s="4" t="s">
        <v>35</v>
      </c>
      <c r="D53" s="4" t="s">
        <v>720</v>
      </c>
      <c r="E53" s="4" t="s">
        <v>703</v>
      </c>
      <c r="F53" s="65" t="s">
        <v>11</v>
      </c>
      <c r="G53" s="4"/>
      <c r="H53" s="4"/>
      <c r="I53" s="4"/>
      <c r="J53" s="66"/>
      <c r="K53" s="67"/>
      <c r="L53" s="68"/>
      <c r="M53" s="4"/>
      <c r="N53" s="4"/>
      <c r="O53" s="4"/>
      <c r="P53" s="4"/>
    </row>
    <row r="54" ht="15.75" customHeight="1">
      <c r="A54" s="4" t="s">
        <v>721</v>
      </c>
      <c r="B54" s="4" t="s">
        <v>14</v>
      </c>
      <c r="C54" s="4" t="s">
        <v>139</v>
      </c>
      <c r="D54" s="4" t="s">
        <v>722</v>
      </c>
      <c r="E54" s="4" t="s">
        <v>703</v>
      </c>
      <c r="F54" s="65" t="s">
        <v>27</v>
      </c>
      <c r="G54" s="11" t="s">
        <v>723</v>
      </c>
      <c r="H54" s="11" t="s">
        <v>16</v>
      </c>
      <c r="I54" s="11" t="s">
        <v>724</v>
      </c>
      <c r="J54" s="69">
        <v>46049.0</v>
      </c>
      <c r="K54" s="70">
        <v>0.5416666666666666</v>
      </c>
      <c r="L54" s="68"/>
      <c r="M54" s="11" t="s">
        <v>725</v>
      </c>
      <c r="N54" s="11" t="s">
        <v>726</v>
      </c>
      <c r="O54" s="4"/>
      <c r="P54" s="4"/>
    </row>
    <row r="55" ht="15.75" customHeight="1">
      <c r="A55" s="4" t="s">
        <v>727</v>
      </c>
      <c r="B55" s="4" t="s">
        <v>728</v>
      </c>
      <c r="C55" s="4" t="s">
        <v>180</v>
      </c>
      <c r="D55" s="4" t="s">
        <v>729</v>
      </c>
      <c r="E55" s="4" t="s">
        <v>703</v>
      </c>
      <c r="F55" s="65" t="s">
        <v>19</v>
      </c>
      <c r="G55" s="11" t="s">
        <v>730</v>
      </c>
      <c r="H55" s="4"/>
      <c r="I55" s="4"/>
      <c r="J55" s="66"/>
      <c r="K55" s="67"/>
      <c r="L55" s="68"/>
      <c r="M55" s="4"/>
      <c r="N55" s="4"/>
      <c r="O55" s="4"/>
      <c r="P55" s="4"/>
    </row>
    <row r="56" ht="15.75" customHeight="1">
      <c r="A56" s="4" t="s">
        <v>64</v>
      </c>
      <c r="B56" s="4" t="s">
        <v>14</v>
      </c>
      <c r="C56" s="4" t="s">
        <v>153</v>
      </c>
      <c r="D56" s="11" t="s">
        <v>731</v>
      </c>
      <c r="E56" s="4" t="s">
        <v>703</v>
      </c>
      <c r="F56" s="65" t="s">
        <v>23</v>
      </c>
      <c r="G56" s="11" t="s">
        <v>63</v>
      </c>
      <c r="H56" s="11" t="s">
        <v>20</v>
      </c>
      <c r="I56" s="11" t="s">
        <v>28</v>
      </c>
      <c r="J56" s="69">
        <v>46063.0</v>
      </c>
      <c r="K56" s="70">
        <v>0.375</v>
      </c>
      <c r="L56" s="68"/>
      <c r="M56" s="11" t="s">
        <v>644</v>
      </c>
      <c r="N56" s="4"/>
      <c r="O56" s="4"/>
      <c r="P56" s="4"/>
    </row>
    <row r="57" ht="15.75" customHeight="1">
      <c r="A57" s="4" t="s">
        <v>732</v>
      </c>
      <c r="B57" s="4" t="s">
        <v>18</v>
      </c>
      <c r="C57" s="4" t="s">
        <v>713</v>
      </c>
      <c r="D57" s="4" t="s">
        <v>733</v>
      </c>
      <c r="E57" s="4" t="s">
        <v>703</v>
      </c>
      <c r="F57" s="65" t="s">
        <v>669</v>
      </c>
      <c r="G57" s="4"/>
      <c r="H57" s="4"/>
      <c r="I57" s="4"/>
      <c r="J57" s="66"/>
      <c r="K57" s="67"/>
      <c r="L57" s="68"/>
      <c r="M57" s="4"/>
      <c r="N57" s="4"/>
      <c r="O57" s="4"/>
      <c r="P57" s="4"/>
    </row>
    <row r="58" ht="15.75" customHeight="1">
      <c r="A58" s="4" t="s">
        <v>734</v>
      </c>
      <c r="B58" s="4" t="s">
        <v>36</v>
      </c>
      <c r="C58" s="4" t="s">
        <v>313</v>
      </c>
      <c r="D58" s="4" t="s">
        <v>735</v>
      </c>
      <c r="E58" s="4" t="s">
        <v>703</v>
      </c>
      <c r="F58" s="65" t="s">
        <v>11</v>
      </c>
      <c r="G58" s="4"/>
      <c r="H58" s="4"/>
      <c r="I58" s="4"/>
      <c r="J58" s="66"/>
      <c r="K58" s="67"/>
      <c r="L58" s="68"/>
      <c r="M58" s="4"/>
      <c r="N58" s="4"/>
      <c r="O58" s="4"/>
      <c r="P58" s="4"/>
    </row>
    <row r="59" ht="15.75" customHeight="1">
      <c r="A59" s="71" t="s">
        <v>736</v>
      </c>
      <c r="B59" s="71" t="s">
        <v>18</v>
      </c>
      <c r="C59" s="71" t="s">
        <v>17</v>
      </c>
      <c r="E59" s="71" t="s">
        <v>626</v>
      </c>
      <c r="F59" s="72" t="s">
        <v>27</v>
      </c>
      <c r="G59" s="71" t="s">
        <v>737</v>
      </c>
      <c r="H59" s="71" t="s">
        <v>16</v>
      </c>
      <c r="I59" s="71" t="s">
        <v>20</v>
      </c>
      <c r="J59" s="73">
        <v>46050.0</v>
      </c>
      <c r="K59" s="74">
        <v>0.5833333333333334</v>
      </c>
      <c r="M59" s="71" t="s">
        <v>725</v>
      </c>
      <c r="N59" s="71" t="s">
        <v>738</v>
      </c>
      <c r="O59" s="62"/>
    </row>
    <row r="60">
      <c r="A60" s="11" t="s">
        <v>739</v>
      </c>
      <c r="B60" s="4" t="s">
        <v>30</v>
      </c>
      <c r="C60" s="4" t="s">
        <v>13</v>
      </c>
      <c r="D60" s="11" t="s">
        <v>740</v>
      </c>
      <c r="E60" s="4" t="s">
        <v>648</v>
      </c>
      <c r="F60" s="65" t="s">
        <v>27</v>
      </c>
      <c r="G60" s="11" t="s">
        <v>55</v>
      </c>
      <c r="H60" s="11" t="s">
        <v>20</v>
      </c>
      <c r="I60" s="11" t="s">
        <v>16</v>
      </c>
      <c r="J60" s="69">
        <v>46056.0</v>
      </c>
      <c r="K60" s="70">
        <v>0.4166666666666667</v>
      </c>
      <c r="L60" s="68"/>
      <c r="M60" s="11" t="s">
        <v>644</v>
      </c>
      <c r="N60" s="4"/>
      <c r="O60" s="4"/>
      <c r="P60" s="4"/>
    </row>
    <row r="61" ht="15.75" customHeight="1">
      <c r="F61" s="62"/>
      <c r="H61" s="62"/>
      <c r="I61" s="62"/>
      <c r="J61" s="63"/>
      <c r="K61" s="63"/>
      <c r="M61" s="62"/>
      <c r="O61" s="62"/>
    </row>
    <row r="62" ht="15.75" customHeight="1">
      <c r="F62" s="62"/>
      <c r="H62" s="62"/>
      <c r="I62" s="62"/>
      <c r="J62" s="63"/>
      <c r="K62" s="63"/>
      <c r="M62" s="62"/>
      <c r="O62" s="62"/>
    </row>
    <row r="63" ht="15.75" customHeight="1">
      <c r="F63" s="62"/>
      <c r="H63" s="62"/>
      <c r="I63" s="62"/>
      <c r="J63" s="63"/>
      <c r="K63" s="63"/>
      <c r="M63" s="62"/>
      <c r="O63" s="62"/>
    </row>
    <row r="64" ht="15.75" customHeight="1">
      <c r="F64" s="62"/>
      <c r="H64" s="62"/>
      <c r="I64" s="62"/>
      <c r="J64" s="63"/>
      <c r="K64" s="63"/>
      <c r="M64" s="62"/>
      <c r="O64" s="62"/>
    </row>
    <row r="65" ht="15.75" customHeight="1">
      <c r="F65" s="62"/>
      <c r="H65" s="62"/>
      <c r="I65" s="62"/>
      <c r="J65" s="63"/>
      <c r="K65" s="63"/>
      <c r="M65" s="62"/>
      <c r="O65" s="62"/>
    </row>
    <row r="66" ht="15.75" customHeight="1">
      <c r="F66" s="62"/>
      <c r="H66" s="62"/>
      <c r="I66" s="62"/>
      <c r="J66" s="63"/>
      <c r="K66" s="63"/>
      <c r="M66" s="62"/>
      <c r="O66" s="62"/>
    </row>
    <row r="67" ht="15.75" customHeight="1">
      <c r="F67" s="62"/>
      <c r="H67" s="62"/>
      <c r="I67" s="62"/>
      <c r="J67" s="63"/>
      <c r="K67" s="63"/>
      <c r="M67" s="62"/>
      <c r="O67" s="62"/>
    </row>
    <row r="68" ht="15.75" customHeight="1">
      <c r="F68" s="62"/>
      <c r="H68" s="62"/>
      <c r="I68" s="62"/>
      <c r="J68" s="63"/>
      <c r="K68" s="63"/>
      <c r="M68" s="62"/>
      <c r="O68" s="62"/>
    </row>
    <row r="69" ht="15.75" customHeight="1">
      <c r="F69" s="62"/>
      <c r="H69" s="62"/>
      <c r="I69" s="62"/>
      <c r="J69" s="63"/>
      <c r="K69" s="63"/>
      <c r="M69" s="62"/>
      <c r="O69" s="62"/>
    </row>
    <row r="70" ht="15.75" customHeight="1">
      <c r="F70" s="62"/>
      <c r="H70" s="62"/>
      <c r="I70" s="62"/>
      <c r="J70" s="63"/>
      <c r="K70" s="63"/>
      <c r="M70" s="62"/>
      <c r="O70" s="62"/>
    </row>
    <row r="71" ht="15.75" customHeight="1">
      <c r="F71" s="62"/>
      <c r="H71" s="62"/>
      <c r="I71" s="62"/>
      <c r="J71" s="63"/>
      <c r="K71" s="63"/>
      <c r="M71" s="62"/>
      <c r="O71" s="62"/>
    </row>
    <row r="72" ht="15.75" customHeight="1">
      <c r="F72" s="62"/>
      <c r="H72" s="62"/>
      <c r="I72" s="62"/>
      <c r="J72" s="63"/>
      <c r="K72" s="63"/>
      <c r="M72" s="62"/>
      <c r="O72" s="62"/>
    </row>
    <row r="73" ht="15.75" customHeight="1">
      <c r="F73" s="62"/>
      <c r="H73" s="62"/>
      <c r="I73" s="62"/>
      <c r="J73" s="63"/>
      <c r="K73" s="63"/>
      <c r="M73" s="62"/>
      <c r="O73" s="62"/>
    </row>
    <row r="74" ht="15.75" customHeight="1">
      <c r="F74" s="62"/>
      <c r="H74" s="62"/>
      <c r="I74" s="62"/>
      <c r="J74" s="63"/>
      <c r="K74" s="63"/>
      <c r="M74" s="62"/>
      <c r="O74" s="62"/>
    </row>
    <row r="75" ht="15.75" customHeight="1">
      <c r="F75" s="62"/>
      <c r="H75" s="62"/>
      <c r="I75" s="62"/>
      <c r="J75" s="63"/>
      <c r="K75" s="63"/>
      <c r="M75" s="62"/>
      <c r="O75" s="62"/>
    </row>
    <row r="76" ht="15.75" customHeight="1">
      <c r="F76" s="62"/>
      <c r="H76" s="62"/>
      <c r="I76" s="62"/>
      <c r="J76" s="63"/>
      <c r="K76" s="63"/>
      <c r="M76" s="62"/>
      <c r="O76" s="62"/>
    </row>
    <row r="77" ht="15.75" customHeight="1">
      <c r="F77" s="62"/>
      <c r="H77" s="62"/>
      <c r="I77" s="62"/>
      <c r="J77" s="63"/>
      <c r="K77" s="63"/>
      <c r="M77" s="62"/>
      <c r="O77" s="62"/>
    </row>
    <row r="78" ht="15.75" customHeight="1">
      <c r="F78" s="62"/>
      <c r="H78" s="62"/>
      <c r="I78" s="62"/>
      <c r="J78" s="63"/>
      <c r="K78" s="63"/>
      <c r="M78" s="62"/>
      <c r="O78" s="62"/>
    </row>
    <row r="79" ht="15.75" customHeight="1">
      <c r="F79" s="62"/>
      <c r="H79" s="62"/>
      <c r="I79" s="62"/>
      <c r="J79" s="63"/>
      <c r="K79" s="63"/>
      <c r="M79" s="62"/>
      <c r="O79" s="62"/>
    </row>
    <row r="80" ht="15.75" customHeight="1">
      <c r="F80" s="62"/>
      <c r="H80" s="62"/>
      <c r="I80" s="62"/>
      <c r="J80" s="63"/>
      <c r="K80" s="63"/>
      <c r="M80" s="62"/>
      <c r="O80" s="62"/>
    </row>
    <row r="81" ht="15.75" customHeight="1">
      <c r="F81" s="62"/>
      <c r="H81" s="62"/>
      <c r="I81" s="62"/>
      <c r="J81" s="63"/>
      <c r="K81" s="63"/>
      <c r="M81" s="62"/>
      <c r="O81" s="62"/>
    </row>
    <row r="82" ht="15.75" customHeight="1">
      <c r="F82" s="62"/>
      <c r="H82" s="62"/>
      <c r="I82" s="62"/>
      <c r="J82" s="63"/>
      <c r="K82" s="63"/>
      <c r="M82" s="62"/>
      <c r="O82" s="62"/>
    </row>
    <row r="83" ht="15.75" customHeight="1">
      <c r="F83" s="62"/>
      <c r="H83" s="62"/>
      <c r="I83" s="62"/>
      <c r="J83" s="63"/>
      <c r="K83" s="63"/>
      <c r="M83" s="62"/>
      <c r="O83" s="62"/>
    </row>
    <row r="84" ht="15.75" customHeight="1">
      <c r="F84" s="62"/>
      <c r="H84" s="62"/>
      <c r="I84" s="62"/>
      <c r="J84" s="63"/>
      <c r="K84" s="63"/>
      <c r="M84" s="62"/>
      <c r="O84" s="62"/>
    </row>
    <row r="85" ht="15.75" customHeight="1">
      <c r="F85" s="62"/>
      <c r="H85" s="62"/>
      <c r="I85" s="62"/>
      <c r="J85" s="63"/>
      <c r="K85" s="63"/>
      <c r="M85" s="62"/>
      <c r="O85" s="62"/>
    </row>
    <row r="86" ht="15.75" customHeight="1">
      <c r="F86" s="62"/>
      <c r="H86" s="62"/>
      <c r="I86" s="62"/>
      <c r="J86" s="63"/>
      <c r="K86" s="63"/>
      <c r="M86" s="62"/>
      <c r="O86" s="62"/>
    </row>
    <row r="87" ht="15.75" customHeight="1">
      <c r="F87" s="62"/>
      <c r="H87" s="62"/>
      <c r="I87" s="62"/>
      <c r="J87" s="63"/>
      <c r="K87" s="63"/>
      <c r="M87" s="62"/>
      <c r="O87" s="62"/>
    </row>
    <row r="88" ht="15.75" customHeight="1">
      <c r="F88" s="62"/>
      <c r="H88" s="62"/>
      <c r="I88" s="62"/>
      <c r="J88" s="63"/>
      <c r="K88" s="63"/>
      <c r="M88" s="62"/>
      <c r="O88" s="62"/>
    </row>
    <row r="89" ht="15.75" customHeight="1">
      <c r="F89" s="62"/>
      <c r="H89" s="62"/>
      <c r="I89" s="62"/>
      <c r="J89" s="63"/>
      <c r="K89" s="63"/>
      <c r="M89" s="62"/>
      <c r="O89" s="62"/>
    </row>
    <row r="90" ht="15.75" customHeight="1">
      <c r="F90" s="62"/>
      <c r="H90" s="62"/>
      <c r="I90" s="62"/>
      <c r="J90" s="63"/>
      <c r="K90" s="63"/>
      <c r="M90" s="62"/>
      <c r="O90" s="62"/>
    </row>
    <row r="91" ht="15.75" customHeight="1">
      <c r="F91" s="62"/>
      <c r="H91" s="62"/>
      <c r="I91" s="62"/>
      <c r="J91" s="63"/>
      <c r="K91" s="63"/>
      <c r="M91" s="62"/>
      <c r="O91" s="62"/>
    </row>
    <row r="92" ht="15.75" customHeight="1">
      <c r="F92" s="62"/>
      <c r="H92" s="62"/>
      <c r="I92" s="62"/>
      <c r="J92" s="63"/>
      <c r="K92" s="63"/>
      <c r="M92" s="62"/>
      <c r="O92" s="62"/>
    </row>
    <row r="93" ht="15.75" customHeight="1">
      <c r="F93" s="62"/>
      <c r="H93" s="62"/>
      <c r="I93" s="62"/>
      <c r="J93" s="63"/>
      <c r="K93" s="63"/>
      <c r="M93" s="62"/>
      <c r="O93" s="62"/>
    </row>
    <row r="94" ht="15.75" customHeight="1">
      <c r="F94" s="62"/>
      <c r="H94" s="62"/>
      <c r="I94" s="62"/>
      <c r="J94" s="63"/>
      <c r="K94" s="63"/>
      <c r="M94" s="62"/>
      <c r="O94" s="62"/>
    </row>
    <row r="95" ht="15.75" customHeight="1">
      <c r="F95" s="62"/>
      <c r="H95" s="62"/>
      <c r="I95" s="62"/>
      <c r="J95" s="63"/>
      <c r="K95" s="63"/>
      <c r="M95" s="62"/>
      <c r="O95" s="62"/>
    </row>
    <row r="96" ht="15.75" customHeight="1">
      <c r="F96" s="62"/>
      <c r="H96" s="62"/>
      <c r="I96" s="62"/>
      <c r="J96" s="63"/>
      <c r="K96" s="63"/>
      <c r="M96" s="62"/>
      <c r="O96" s="62"/>
    </row>
    <row r="97" ht="15.75" customHeight="1">
      <c r="F97" s="62"/>
      <c r="H97" s="62"/>
      <c r="I97" s="62"/>
      <c r="J97" s="63"/>
      <c r="K97" s="63"/>
      <c r="M97" s="62"/>
      <c r="O97" s="62"/>
    </row>
    <row r="98" ht="15.75" customHeight="1">
      <c r="F98" s="62"/>
      <c r="H98" s="62"/>
      <c r="I98" s="62"/>
      <c r="J98" s="63"/>
      <c r="K98" s="63"/>
      <c r="M98" s="62"/>
      <c r="O98" s="62"/>
    </row>
    <row r="99" ht="15.75" customHeight="1">
      <c r="F99" s="62"/>
      <c r="H99" s="62"/>
      <c r="I99" s="62"/>
      <c r="J99" s="63"/>
      <c r="K99" s="63"/>
      <c r="M99" s="62"/>
      <c r="O99" s="62"/>
    </row>
    <row r="100" ht="15.75" customHeight="1">
      <c r="F100" s="62"/>
      <c r="H100" s="62"/>
      <c r="I100" s="62"/>
      <c r="J100" s="63"/>
      <c r="K100" s="63"/>
      <c r="M100" s="62"/>
      <c r="O100" s="62"/>
    </row>
    <row r="101" ht="15.75" customHeight="1">
      <c r="F101" s="62"/>
      <c r="H101" s="62"/>
      <c r="I101" s="62"/>
      <c r="J101" s="63"/>
      <c r="K101" s="63"/>
      <c r="M101" s="62"/>
      <c r="O101" s="62"/>
    </row>
    <row r="102" ht="15.75" customHeight="1">
      <c r="F102" s="62"/>
      <c r="H102" s="62"/>
      <c r="I102" s="62"/>
      <c r="J102" s="63"/>
      <c r="K102" s="63"/>
      <c r="M102" s="62"/>
      <c r="O102" s="62"/>
    </row>
    <row r="103" ht="15.75" customHeight="1">
      <c r="F103" s="62"/>
      <c r="H103" s="62"/>
      <c r="I103" s="62"/>
      <c r="J103" s="63"/>
      <c r="K103" s="63"/>
      <c r="M103" s="62"/>
      <c r="O103" s="62"/>
    </row>
    <row r="104" ht="15.75" customHeight="1">
      <c r="F104" s="62"/>
      <c r="H104" s="62"/>
      <c r="I104" s="62"/>
      <c r="J104" s="63"/>
      <c r="K104" s="63"/>
      <c r="M104" s="62"/>
      <c r="O104" s="62"/>
    </row>
    <row r="105" ht="15.75" customHeight="1">
      <c r="F105" s="62"/>
      <c r="H105" s="62"/>
      <c r="I105" s="62"/>
      <c r="J105" s="63"/>
      <c r="K105" s="63"/>
      <c r="M105" s="62"/>
      <c r="O105" s="62"/>
    </row>
    <row r="106" ht="15.75" customHeight="1">
      <c r="F106" s="62"/>
      <c r="H106" s="62"/>
      <c r="I106" s="62"/>
      <c r="J106" s="63"/>
      <c r="K106" s="63"/>
      <c r="M106" s="62"/>
      <c r="O106" s="62"/>
    </row>
    <row r="107" ht="15.75" customHeight="1">
      <c r="F107" s="62"/>
      <c r="H107" s="62"/>
      <c r="I107" s="62"/>
      <c r="J107" s="63"/>
      <c r="K107" s="63"/>
      <c r="M107" s="62"/>
      <c r="O107" s="62"/>
    </row>
    <row r="108" ht="15.75" customHeight="1">
      <c r="F108" s="62"/>
      <c r="H108" s="62"/>
      <c r="I108" s="62"/>
      <c r="J108" s="63"/>
      <c r="K108" s="63"/>
      <c r="M108" s="62"/>
      <c r="O108" s="62"/>
    </row>
    <row r="109" ht="15.75" customHeight="1">
      <c r="F109" s="62"/>
      <c r="H109" s="62"/>
      <c r="I109" s="62"/>
      <c r="J109" s="63"/>
      <c r="K109" s="63"/>
      <c r="M109" s="62"/>
      <c r="O109" s="62"/>
    </row>
    <row r="110" ht="15.75" customHeight="1">
      <c r="F110" s="62"/>
      <c r="H110" s="62"/>
      <c r="I110" s="62"/>
      <c r="J110" s="63"/>
      <c r="K110" s="63"/>
      <c r="M110" s="62"/>
      <c r="O110" s="62"/>
    </row>
    <row r="111" ht="15.75" customHeight="1">
      <c r="F111" s="62"/>
      <c r="H111" s="62"/>
      <c r="I111" s="62"/>
      <c r="J111" s="63"/>
      <c r="K111" s="63"/>
      <c r="M111" s="62"/>
      <c r="O111" s="62"/>
    </row>
    <row r="112" ht="15.75" customHeight="1">
      <c r="F112" s="62"/>
      <c r="H112" s="62"/>
      <c r="I112" s="62"/>
      <c r="J112" s="63"/>
      <c r="K112" s="63"/>
      <c r="M112" s="62"/>
      <c r="O112" s="62"/>
    </row>
    <row r="113" ht="15.75" customHeight="1">
      <c r="F113" s="62"/>
      <c r="H113" s="62"/>
      <c r="I113" s="62"/>
      <c r="J113" s="63"/>
      <c r="K113" s="63"/>
      <c r="M113" s="62"/>
      <c r="O113" s="62"/>
    </row>
    <row r="114" ht="15.75" customHeight="1">
      <c r="F114" s="62"/>
      <c r="H114" s="62"/>
      <c r="I114" s="62"/>
      <c r="J114" s="63"/>
      <c r="K114" s="63"/>
      <c r="M114" s="62"/>
      <c r="O114" s="62"/>
    </row>
    <row r="115" ht="15.75" customHeight="1">
      <c r="F115" s="62"/>
      <c r="H115" s="62"/>
      <c r="I115" s="62"/>
      <c r="J115" s="63"/>
      <c r="K115" s="63"/>
      <c r="M115" s="62"/>
      <c r="O115" s="62"/>
    </row>
    <row r="116" ht="15.75" customHeight="1">
      <c r="F116" s="62"/>
      <c r="H116" s="62"/>
      <c r="I116" s="62"/>
      <c r="J116" s="63"/>
      <c r="K116" s="63"/>
      <c r="M116" s="62"/>
      <c r="O116" s="62"/>
    </row>
    <row r="117" ht="15.75" customHeight="1">
      <c r="F117" s="62"/>
      <c r="H117" s="62"/>
      <c r="I117" s="62"/>
      <c r="J117" s="63"/>
      <c r="K117" s="63"/>
      <c r="M117" s="62"/>
      <c r="O117" s="62"/>
    </row>
    <row r="118" ht="15.75" customHeight="1">
      <c r="F118" s="62"/>
      <c r="H118" s="62"/>
      <c r="I118" s="62"/>
      <c r="J118" s="63"/>
      <c r="K118" s="63"/>
      <c r="M118" s="62"/>
      <c r="O118" s="62"/>
    </row>
    <row r="119" ht="15.75" customHeight="1">
      <c r="F119" s="62"/>
      <c r="H119" s="62"/>
      <c r="I119" s="62"/>
      <c r="J119" s="63"/>
      <c r="K119" s="63"/>
      <c r="M119" s="62"/>
      <c r="O119" s="62"/>
    </row>
    <row r="120" ht="15.75" customHeight="1">
      <c r="F120" s="62"/>
      <c r="H120" s="62"/>
      <c r="I120" s="62"/>
      <c r="J120" s="63"/>
      <c r="K120" s="63"/>
      <c r="M120" s="62"/>
      <c r="O120" s="62"/>
    </row>
    <row r="121" ht="15.75" customHeight="1">
      <c r="F121" s="62"/>
      <c r="H121" s="62"/>
      <c r="I121" s="62"/>
      <c r="J121" s="63"/>
      <c r="K121" s="63"/>
      <c r="M121" s="62"/>
      <c r="O121" s="62"/>
    </row>
    <row r="122" ht="15.75" customHeight="1">
      <c r="F122" s="62"/>
      <c r="H122" s="62"/>
      <c r="I122" s="62"/>
      <c r="J122" s="63"/>
      <c r="K122" s="63"/>
      <c r="M122" s="62"/>
      <c r="O122" s="62"/>
    </row>
    <row r="123" ht="15.75" customHeight="1">
      <c r="F123" s="62"/>
      <c r="H123" s="62"/>
      <c r="I123" s="62"/>
      <c r="J123" s="63"/>
      <c r="K123" s="63"/>
      <c r="M123" s="62"/>
      <c r="O123" s="62"/>
    </row>
    <row r="124" ht="15.75" customHeight="1">
      <c r="F124" s="62"/>
      <c r="H124" s="62"/>
      <c r="I124" s="62"/>
      <c r="J124" s="63"/>
      <c r="K124" s="63"/>
      <c r="M124" s="62"/>
      <c r="O124" s="62"/>
    </row>
    <row r="125" ht="15.75" customHeight="1">
      <c r="F125" s="62"/>
      <c r="H125" s="62"/>
      <c r="I125" s="62"/>
      <c r="J125" s="63"/>
      <c r="K125" s="63"/>
      <c r="M125" s="62"/>
      <c r="O125" s="62"/>
    </row>
    <row r="126" ht="15.75" customHeight="1">
      <c r="F126" s="62"/>
      <c r="H126" s="62"/>
      <c r="I126" s="62"/>
      <c r="J126" s="63"/>
      <c r="K126" s="63"/>
      <c r="M126" s="62"/>
      <c r="O126" s="62"/>
    </row>
    <row r="127" ht="15.75" customHeight="1">
      <c r="F127" s="62"/>
      <c r="H127" s="62"/>
      <c r="I127" s="62"/>
      <c r="J127" s="63"/>
      <c r="K127" s="63"/>
      <c r="M127" s="62"/>
      <c r="O127" s="62"/>
    </row>
    <row r="128" ht="15.75" customHeight="1">
      <c r="F128" s="62"/>
      <c r="H128" s="62"/>
      <c r="I128" s="62"/>
      <c r="J128" s="63"/>
      <c r="K128" s="63"/>
      <c r="M128" s="62"/>
      <c r="O128" s="62"/>
    </row>
    <row r="129" ht="15.75" customHeight="1">
      <c r="F129" s="62"/>
      <c r="H129" s="62"/>
      <c r="I129" s="62"/>
      <c r="J129" s="63"/>
      <c r="K129" s="63"/>
      <c r="M129" s="62"/>
      <c r="O129" s="62"/>
    </row>
    <row r="130" ht="15.75" customHeight="1">
      <c r="F130" s="62"/>
      <c r="H130" s="62"/>
      <c r="I130" s="62"/>
      <c r="J130" s="63"/>
      <c r="K130" s="63"/>
      <c r="M130" s="62"/>
      <c r="O130" s="62"/>
    </row>
    <row r="131" ht="15.75" customHeight="1">
      <c r="F131" s="62"/>
      <c r="H131" s="62"/>
      <c r="I131" s="62"/>
      <c r="J131" s="63"/>
      <c r="K131" s="63"/>
      <c r="M131" s="62"/>
      <c r="O131" s="62"/>
    </row>
    <row r="132" ht="15.75" customHeight="1">
      <c r="F132" s="62"/>
      <c r="H132" s="62"/>
      <c r="I132" s="62"/>
      <c r="J132" s="63"/>
      <c r="K132" s="63"/>
      <c r="M132" s="62"/>
      <c r="O132" s="62"/>
    </row>
    <row r="133" ht="15.75" customHeight="1">
      <c r="F133" s="62"/>
      <c r="H133" s="62"/>
      <c r="I133" s="62"/>
      <c r="J133" s="63"/>
      <c r="K133" s="63"/>
      <c r="M133" s="62"/>
      <c r="O133" s="62"/>
    </row>
    <row r="134" ht="15.75" customHeight="1">
      <c r="F134" s="62"/>
      <c r="H134" s="62"/>
      <c r="I134" s="62"/>
      <c r="J134" s="63"/>
      <c r="K134" s="63"/>
      <c r="M134" s="62"/>
      <c r="O134" s="62"/>
    </row>
    <row r="135" ht="15.75" customHeight="1">
      <c r="F135" s="62"/>
      <c r="H135" s="62"/>
      <c r="I135" s="62"/>
      <c r="J135" s="63"/>
      <c r="K135" s="63"/>
      <c r="M135" s="62"/>
      <c r="O135" s="62"/>
    </row>
    <row r="136" ht="15.75" customHeight="1">
      <c r="F136" s="62"/>
      <c r="H136" s="62"/>
      <c r="I136" s="62"/>
      <c r="J136" s="63"/>
      <c r="K136" s="63"/>
      <c r="M136" s="62"/>
      <c r="O136" s="62"/>
    </row>
    <row r="137" ht="15.75" customHeight="1">
      <c r="F137" s="62"/>
      <c r="H137" s="62"/>
      <c r="I137" s="62"/>
      <c r="J137" s="63"/>
      <c r="K137" s="63"/>
      <c r="M137" s="62"/>
      <c r="O137" s="62"/>
    </row>
    <row r="138" ht="15.75" customHeight="1">
      <c r="F138" s="62"/>
      <c r="H138" s="62"/>
      <c r="I138" s="62"/>
      <c r="J138" s="63"/>
      <c r="K138" s="63"/>
      <c r="M138" s="62"/>
      <c r="O138" s="62"/>
    </row>
    <row r="139" ht="15.75" customHeight="1">
      <c r="F139" s="62"/>
      <c r="H139" s="62"/>
      <c r="I139" s="62"/>
      <c r="J139" s="63"/>
      <c r="K139" s="63"/>
      <c r="M139" s="62"/>
      <c r="O139" s="62"/>
    </row>
    <row r="140" ht="15.75" customHeight="1">
      <c r="F140" s="62"/>
      <c r="H140" s="62"/>
      <c r="I140" s="62"/>
      <c r="J140" s="63"/>
      <c r="K140" s="63"/>
      <c r="M140" s="62"/>
      <c r="O140" s="62"/>
    </row>
    <row r="141" ht="15.75" customHeight="1">
      <c r="F141" s="62"/>
      <c r="H141" s="62"/>
      <c r="I141" s="62"/>
      <c r="J141" s="63"/>
      <c r="K141" s="63"/>
      <c r="M141" s="62"/>
      <c r="O141" s="62"/>
    </row>
    <row r="142" ht="15.75" customHeight="1">
      <c r="F142" s="62"/>
      <c r="H142" s="62"/>
      <c r="I142" s="62"/>
      <c r="J142" s="63"/>
      <c r="K142" s="63"/>
      <c r="M142" s="62"/>
      <c r="O142" s="62"/>
    </row>
    <row r="143" ht="15.75" customHeight="1">
      <c r="F143" s="62"/>
      <c r="H143" s="62"/>
      <c r="I143" s="62"/>
      <c r="J143" s="63"/>
      <c r="K143" s="63"/>
      <c r="M143" s="62"/>
      <c r="O143" s="62"/>
    </row>
    <row r="144" ht="15.75" customHeight="1">
      <c r="F144" s="62"/>
      <c r="H144" s="62"/>
      <c r="I144" s="62"/>
      <c r="J144" s="63"/>
      <c r="K144" s="63"/>
      <c r="M144" s="62"/>
      <c r="O144" s="62"/>
    </row>
    <row r="145" ht="15.75" customHeight="1">
      <c r="F145" s="62"/>
      <c r="H145" s="62"/>
      <c r="I145" s="62"/>
      <c r="J145" s="63"/>
      <c r="K145" s="63"/>
      <c r="M145" s="62"/>
      <c r="O145" s="62"/>
    </row>
    <row r="146" ht="15.75" customHeight="1">
      <c r="F146" s="62"/>
      <c r="H146" s="62"/>
      <c r="I146" s="62"/>
      <c r="J146" s="63"/>
      <c r="K146" s="63"/>
      <c r="M146" s="62"/>
      <c r="O146" s="62"/>
    </row>
    <row r="147" ht="15.75" customHeight="1">
      <c r="F147" s="62"/>
      <c r="H147" s="62"/>
      <c r="I147" s="62"/>
      <c r="J147" s="63"/>
      <c r="K147" s="63"/>
      <c r="M147" s="62"/>
      <c r="O147" s="62"/>
    </row>
    <row r="148" ht="15.75" customHeight="1">
      <c r="F148" s="62"/>
      <c r="H148" s="62"/>
      <c r="I148" s="62"/>
      <c r="J148" s="63"/>
      <c r="K148" s="63"/>
      <c r="M148" s="62"/>
      <c r="O148" s="62"/>
    </row>
    <row r="149" ht="15.75" customHeight="1">
      <c r="F149" s="62"/>
      <c r="H149" s="62"/>
      <c r="I149" s="62"/>
      <c r="J149" s="63"/>
      <c r="K149" s="63"/>
      <c r="M149" s="62"/>
      <c r="O149" s="62"/>
    </row>
    <row r="150" ht="15.75" customHeight="1">
      <c r="F150" s="62"/>
      <c r="H150" s="62"/>
      <c r="I150" s="62"/>
      <c r="J150" s="63"/>
      <c r="K150" s="63"/>
      <c r="M150" s="62"/>
      <c r="O150" s="62"/>
    </row>
    <row r="151" ht="15.75" customHeight="1">
      <c r="F151" s="62"/>
      <c r="H151" s="62"/>
      <c r="I151" s="62"/>
      <c r="J151" s="63"/>
      <c r="K151" s="63"/>
      <c r="M151" s="62"/>
      <c r="O151" s="62"/>
    </row>
    <row r="152" ht="15.75" customHeight="1">
      <c r="F152" s="62"/>
      <c r="H152" s="62"/>
      <c r="I152" s="62"/>
      <c r="J152" s="63"/>
      <c r="K152" s="63"/>
      <c r="M152" s="62"/>
      <c r="O152" s="62"/>
    </row>
    <row r="153" ht="15.75" customHeight="1">
      <c r="F153" s="62"/>
      <c r="H153" s="62"/>
      <c r="I153" s="62"/>
      <c r="J153" s="63"/>
      <c r="K153" s="63"/>
      <c r="M153" s="62"/>
      <c r="O153" s="62"/>
    </row>
    <row r="154" ht="15.75" customHeight="1">
      <c r="F154" s="62"/>
      <c r="H154" s="62"/>
      <c r="I154" s="62"/>
      <c r="J154" s="63"/>
      <c r="K154" s="63"/>
      <c r="M154" s="62"/>
      <c r="O154" s="62"/>
    </row>
    <row r="155" ht="15.75" customHeight="1">
      <c r="J155" s="63"/>
      <c r="K155" s="63"/>
    </row>
    <row r="156" ht="15.75" customHeight="1">
      <c r="J156" s="63"/>
      <c r="K156" s="63"/>
    </row>
    <row r="157" ht="15.75" customHeight="1">
      <c r="J157" s="63"/>
      <c r="K157" s="63"/>
    </row>
    <row r="158" ht="15.75" customHeight="1">
      <c r="J158" s="63"/>
      <c r="K158" s="63"/>
    </row>
    <row r="159" ht="15.75" customHeight="1">
      <c r="J159" s="63"/>
      <c r="K159" s="63"/>
    </row>
    <row r="160" ht="15.75" customHeight="1">
      <c r="J160" s="63"/>
      <c r="K160" s="63"/>
    </row>
    <row r="161" ht="15.75" customHeight="1">
      <c r="J161" s="63"/>
      <c r="K161" s="63"/>
    </row>
    <row r="162" ht="15.75" customHeight="1">
      <c r="J162" s="63"/>
      <c r="K162" s="63"/>
    </row>
    <row r="163" ht="15.75" customHeight="1">
      <c r="J163" s="63"/>
      <c r="K163" s="63"/>
    </row>
    <row r="164" ht="15.75" customHeight="1">
      <c r="J164" s="63"/>
      <c r="K164" s="63"/>
    </row>
    <row r="165" ht="15.75" customHeight="1">
      <c r="J165" s="63"/>
      <c r="K165" s="63"/>
    </row>
    <row r="166" ht="15.75" customHeight="1">
      <c r="J166" s="63"/>
      <c r="K166" s="63"/>
    </row>
    <row r="167" ht="15.75" customHeight="1">
      <c r="J167" s="63"/>
      <c r="K167" s="63"/>
    </row>
    <row r="168" ht="15.75" customHeight="1">
      <c r="J168" s="63"/>
      <c r="K168" s="63"/>
    </row>
    <row r="169" ht="15.75" customHeight="1">
      <c r="J169" s="63"/>
      <c r="K169" s="63"/>
    </row>
    <row r="170" ht="15.75" customHeight="1">
      <c r="J170" s="63"/>
      <c r="K170" s="63"/>
    </row>
    <row r="171" ht="15.75" customHeight="1">
      <c r="J171" s="63"/>
      <c r="K171" s="63"/>
    </row>
    <row r="172" ht="15.75" customHeight="1">
      <c r="J172" s="63"/>
      <c r="K172" s="63"/>
    </row>
    <row r="173" ht="15.75" customHeight="1">
      <c r="J173" s="63"/>
      <c r="K173" s="63"/>
    </row>
    <row r="174" ht="15.75" customHeight="1">
      <c r="J174" s="63"/>
      <c r="K174" s="63"/>
    </row>
    <row r="175" ht="15.75" customHeight="1">
      <c r="J175" s="63"/>
      <c r="K175" s="63"/>
    </row>
    <row r="176" ht="15.75" customHeight="1">
      <c r="J176" s="63"/>
      <c r="K176" s="63"/>
    </row>
    <row r="177" ht="15.75" customHeight="1">
      <c r="J177" s="63"/>
      <c r="K177" s="63"/>
    </row>
    <row r="178" ht="15.75" customHeight="1">
      <c r="J178" s="63"/>
      <c r="K178" s="63"/>
    </row>
    <row r="179" ht="15.75" customHeight="1">
      <c r="J179" s="63"/>
      <c r="K179" s="63"/>
    </row>
    <row r="180" ht="15.75" customHeight="1">
      <c r="J180" s="63"/>
      <c r="K180" s="63"/>
    </row>
    <row r="181" ht="15.75" customHeight="1">
      <c r="J181" s="63"/>
      <c r="K181" s="63"/>
    </row>
    <row r="182" ht="15.75" customHeight="1">
      <c r="J182" s="63"/>
      <c r="K182" s="63"/>
    </row>
    <row r="183" ht="15.75" customHeight="1">
      <c r="J183" s="63"/>
      <c r="K183" s="63"/>
    </row>
    <row r="184" ht="15.75" customHeight="1">
      <c r="J184" s="63"/>
      <c r="K184" s="63"/>
    </row>
    <row r="185" ht="15.75" customHeight="1">
      <c r="J185" s="63"/>
      <c r="K185" s="63"/>
    </row>
    <row r="186" ht="15.75" customHeight="1">
      <c r="J186" s="63"/>
      <c r="K186" s="63"/>
    </row>
    <row r="187" ht="15.75" customHeight="1">
      <c r="J187" s="63"/>
      <c r="K187" s="63"/>
    </row>
    <row r="188" ht="15.75" customHeight="1">
      <c r="J188" s="63"/>
      <c r="K188" s="63"/>
    </row>
    <row r="189" ht="15.75" customHeight="1">
      <c r="J189" s="63"/>
      <c r="K189" s="63"/>
    </row>
    <row r="190" ht="15.75" customHeight="1">
      <c r="J190" s="63"/>
      <c r="K190" s="63"/>
    </row>
    <row r="191" ht="15.75" customHeight="1">
      <c r="J191" s="63"/>
      <c r="K191" s="63"/>
    </row>
    <row r="192" ht="15.75" customHeight="1">
      <c r="J192" s="63"/>
      <c r="K192" s="63"/>
    </row>
    <row r="193" ht="15.75" customHeight="1">
      <c r="J193" s="63"/>
      <c r="K193" s="63"/>
    </row>
    <row r="194" ht="15.75" customHeight="1">
      <c r="J194" s="63"/>
      <c r="K194" s="63"/>
    </row>
    <row r="195" ht="15.75" customHeight="1">
      <c r="J195" s="63"/>
      <c r="K195" s="63"/>
    </row>
    <row r="196" ht="15.75" customHeight="1">
      <c r="J196" s="63"/>
      <c r="K196" s="63"/>
    </row>
    <row r="197" ht="15.75" customHeight="1">
      <c r="J197" s="63"/>
      <c r="K197" s="63"/>
    </row>
    <row r="198" ht="15.75" customHeight="1">
      <c r="J198" s="63"/>
      <c r="K198" s="63"/>
    </row>
    <row r="199" ht="15.75" customHeight="1">
      <c r="J199" s="63"/>
      <c r="K199" s="63"/>
    </row>
    <row r="200" ht="15.75" customHeight="1">
      <c r="J200" s="63"/>
      <c r="K200" s="63"/>
    </row>
    <row r="201" ht="15.75" customHeight="1">
      <c r="J201" s="63"/>
      <c r="K201" s="63"/>
    </row>
    <row r="202" ht="15.75" customHeight="1">
      <c r="J202" s="63"/>
      <c r="K202" s="63"/>
    </row>
    <row r="203" ht="15.75" customHeight="1">
      <c r="J203" s="63"/>
      <c r="K203" s="63"/>
    </row>
    <row r="204" ht="15.75" customHeight="1">
      <c r="J204" s="63"/>
      <c r="K204" s="63"/>
    </row>
    <row r="205" ht="15.75" customHeight="1">
      <c r="J205" s="63"/>
      <c r="K205" s="63"/>
    </row>
    <row r="206" ht="15.75" customHeight="1">
      <c r="J206" s="63"/>
      <c r="K206" s="63"/>
    </row>
    <row r="207" ht="15.75" customHeight="1">
      <c r="J207" s="63"/>
      <c r="K207" s="63"/>
    </row>
    <row r="208" ht="15.75" customHeight="1">
      <c r="J208" s="63"/>
      <c r="K208" s="63"/>
    </row>
    <row r="209" ht="15.75" customHeight="1">
      <c r="J209" s="63"/>
      <c r="K209" s="63"/>
    </row>
    <row r="210" ht="15.75" customHeight="1">
      <c r="J210" s="63"/>
      <c r="K210" s="63"/>
    </row>
    <row r="211" ht="15.75" customHeight="1">
      <c r="J211" s="63"/>
      <c r="K211" s="63"/>
    </row>
    <row r="212" ht="15.75" customHeight="1">
      <c r="J212" s="63"/>
      <c r="K212" s="63"/>
    </row>
    <row r="213" ht="15.75" customHeight="1">
      <c r="J213" s="63"/>
      <c r="K213" s="63"/>
    </row>
    <row r="214" ht="15.75" customHeight="1">
      <c r="J214" s="63"/>
      <c r="K214" s="63"/>
    </row>
    <row r="215" ht="15.75" customHeight="1">
      <c r="J215" s="63"/>
      <c r="K215" s="63"/>
    </row>
    <row r="216" ht="15.75" customHeight="1">
      <c r="J216" s="63"/>
      <c r="K216" s="63"/>
    </row>
    <row r="217" ht="15.75" customHeight="1">
      <c r="J217" s="63"/>
      <c r="K217" s="63"/>
    </row>
    <row r="218" ht="15.75" customHeight="1">
      <c r="J218" s="63"/>
      <c r="K218" s="63"/>
    </row>
    <row r="219" ht="15.75" customHeight="1">
      <c r="J219" s="63"/>
      <c r="K219" s="63"/>
    </row>
    <row r="220" ht="15.75" customHeight="1">
      <c r="J220" s="63"/>
      <c r="K220" s="63"/>
    </row>
    <row r="221" ht="15.75" customHeight="1">
      <c r="J221" s="63"/>
      <c r="K221" s="63"/>
    </row>
    <row r="222" ht="15.75" customHeight="1">
      <c r="J222" s="63"/>
      <c r="K222" s="63"/>
    </row>
    <row r="223" ht="15.75" customHeight="1">
      <c r="J223" s="63"/>
      <c r="K223" s="63"/>
    </row>
    <row r="224" ht="15.75" customHeight="1">
      <c r="J224" s="63"/>
      <c r="K224" s="63"/>
    </row>
    <row r="225" ht="15.75" customHeight="1">
      <c r="J225" s="63"/>
      <c r="K225" s="63"/>
    </row>
    <row r="226" ht="15.75" customHeight="1">
      <c r="J226" s="63"/>
      <c r="K226" s="63"/>
    </row>
    <row r="227" ht="15.75" customHeight="1">
      <c r="J227" s="63"/>
      <c r="K227" s="63"/>
    </row>
    <row r="228" ht="15.75" customHeight="1">
      <c r="J228" s="63"/>
      <c r="K228" s="63"/>
    </row>
    <row r="229" ht="15.75" customHeight="1">
      <c r="J229" s="63"/>
      <c r="K229" s="63"/>
    </row>
    <row r="230" ht="15.75" customHeight="1">
      <c r="J230" s="63"/>
      <c r="K230" s="63"/>
    </row>
    <row r="231" ht="15.75" customHeight="1">
      <c r="J231" s="63"/>
      <c r="K231" s="63"/>
    </row>
    <row r="232" ht="15.75" customHeight="1">
      <c r="J232" s="63"/>
      <c r="K232" s="63"/>
    </row>
    <row r="233" ht="15.75" customHeight="1">
      <c r="J233" s="63"/>
      <c r="K233" s="63"/>
    </row>
    <row r="234" ht="15.75" customHeight="1">
      <c r="J234" s="63"/>
      <c r="K234" s="63"/>
    </row>
    <row r="235" ht="15.75" customHeight="1">
      <c r="J235" s="63"/>
      <c r="K235" s="63"/>
    </row>
    <row r="236" ht="15.75" customHeight="1">
      <c r="J236" s="63"/>
      <c r="K236" s="63"/>
    </row>
    <row r="237" ht="15.75" customHeight="1">
      <c r="J237" s="63"/>
      <c r="K237" s="63"/>
    </row>
    <row r="238" ht="15.75" customHeight="1">
      <c r="J238" s="63"/>
      <c r="K238" s="63"/>
    </row>
    <row r="239" ht="15.75" customHeight="1">
      <c r="J239" s="63"/>
      <c r="K239" s="63"/>
    </row>
    <row r="240" ht="15.75" customHeight="1">
      <c r="J240" s="63"/>
      <c r="K240" s="63"/>
    </row>
    <row r="241" ht="15.75" customHeight="1">
      <c r="J241" s="63"/>
      <c r="K241" s="63"/>
    </row>
    <row r="242" ht="15.75" customHeight="1">
      <c r="J242" s="63"/>
      <c r="K242" s="63"/>
    </row>
    <row r="243" ht="15.75" customHeight="1">
      <c r="J243" s="63"/>
      <c r="K243" s="63"/>
    </row>
    <row r="244" ht="15.75" customHeight="1">
      <c r="J244" s="63"/>
      <c r="K244" s="63"/>
    </row>
    <row r="245" ht="15.75" customHeight="1">
      <c r="J245" s="63"/>
      <c r="K245" s="63"/>
    </row>
    <row r="246" ht="15.75" customHeight="1">
      <c r="J246" s="63"/>
      <c r="K246" s="63"/>
    </row>
    <row r="247" ht="15.75" customHeight="1">
      <c r="J247" s="63"/>
      <c r="K247" s="63"/>
    </row>
    <row r="248" ht="15.75" customHeight="1">
      <c r="J248" s="63"/>
      <c r="K248" s="63"/>
    </row>
    <row r="249" ht="15.75" customHeight="1">
      <c r="J249" s="63"/>
      <c r="K249" s="63"/>
    </row>
    <row r="250" ht="15.75" customHeight="1">
      <c r="J250" s="63"/>
      <c r="K250" s="63"/>
    </row>
    <row r="251" ht="15.75" customHeight="1">
      <c r="J251" s="63"/>
      <c r="K251" s="63"/>
    </row>
    <row r="252" ht="15.75" customHeight="1">
      <c r="J252" s="63"/>
      <c r="K252" s="63"/>
    </row>
    <row r="253" ht="15.75" customHeight="1">
      <c r="J253" s="63"/>
      <c r="K253" s="63"/>
    </row>
    <row r="254" ht="15.75" customHeight="1">
      <c r="J254" s="63"/>
      <c r="K254" s="63"/>
    </row>
    <row r="255" ht="15.75" customHeight="1">
      <c r="J255" s="63"/>
      <c r="K255" s="63"/>
    </row>
    <row r="256" ht="15.75" customHeight="1">
      <c r="J256" s="63"/>
      <c r="K256" s="63"/>
    </row>
    <row r="257" ht="15.75" customHeight="1">
      <c r="J257" s="63"/>
      <c r="K257" s="63"/>
    </row>
    <row r="258" ht="15.75" customHeight="1">
      <c r="J258" s="63"/>
      <c r="K258" s="63"/>
    </row>
    <row r="259" ht="15.75" customHeight="1">
      <c r="J259" s="63"/>
      <c r="K259" s="63"/>
    </row>
    <row r="260" ht="15.75" customHeight="1">
      <c r="J260" s="63"/>
      <c r="K260" s="63"/>
    </row>
    <row r="261" ht="15.75" customHeight="1">
      <c r="J261" s="63"/>
      <c r="K261" s="63"/>
    </row>
    <row r="262" ht="15.75" customHeight="1">
      <c r="J262" s="63"/>
      <c r="K262" s="63"/>
    </row>
    <row r="263" ht="15.75" customHeight="1">
      <c r="J263" s="63"/>
      <c r="K263" s="63"/>
    </row>
    <row r="264" ht="15.75" customHeight="1">
      <c r="J264" s="63"/>
      <c r="K264" s="63"/>
    </row>
    <row r="265" ht="15.75" customHeight="1">
      <c r="J265" s="63"/>
      <c r="K265" s="63"/>
    </row>
    <row r="266" ht="15.75" customHeight="1">
      <c r="J266" s="63"/>
      <c r="K266" s="63"/>
    </row>
    <row r="267" ht="15.75" customHeight="1">
      <c r="J267" s="63"/>
      <c r="K267" s="63"/>
    </row>
    <row r="268" ht="15.75" customHeight="1">
      <c r="J268" s="63"/>
      <c r="K268" s="63"/>
    </row>
    <row r="269" ht="15.75" customHeight="1">
      <c r="J269" s="63"/>
      <c r="K269" s="63"/>
    </row>
    <row r="270" ht="15.75" customHeight="1">
      <c r="J270" s="63"/>
      <c r="K270" s="63"/>
    </row>
    <row r="271" ht="15.75" customHeight="1">
      <c r="J271" s="63"/>
      <c r="K271" s="63"/>
    </row>
    <row r="272" ht="15.75" customHeight="1">
      <c r="J272" s="63"/>
      <c r="K272" s="63"/>
    </row>
    <row r="273" ht="15.75" customHeight="1">
      <c r="J273" s="63"/>
      <c r="K273" s="63"/>
    </row>
    <row r="274" ht="15.75" customHeight="1">
      <c r="J274" s="63"/>
      <c r="K274" s="63"/>
    </row>
    <row r="275" ht="15.75" customHeight="1">
      <c r="J275" s="63"/>
      <c r="K275" s="63"/>
    </row>
    <row r="276" ht="15.75" customHeight="1">
      <c r="J276" s="63"/>
      <c r="K276" s="63"/>
    </row>
    <row r="277" ht="15.75" customHeight="1">
      <c r="J277" s="63"/>
      <c r="K277" s="63"/>
    </row>
    <row r="278" ht="15.75" customHeight="1">
      <c r="J278" s="63"/>
      <c r="K278" s="63"/>
    </row>
    <row r="279" ht="15.75" customHeight="1">
      <c r="J279" s="63"/>
      <c r="K279" s="63"/>
    </row>
    <row r="280" ht="15.75" customHeight="1">
      <c r="J280" s="63"/>
      <c r="K280" s="63"/>
    </row>
    <row r="281" ht="15.75" customHeight="1">
      <c r="J281" s="63"/>
      <c r="K281" s="63"/>
    </row>
    <row r="282" ht="15.75" customHeight="1">
      <c r="J282" s="63"/>
      <c r="K282" s="63"/>
    </row>
    <row r="283" ht="15.75" customHeight="1">
      <c r="J283" s="63"/>
      <c r="K283" s="63"/>
    </row>
    <row r="284" ht="15.75" customHeight="1">
      <c r="J284" s="63"/>
      <c r="K284" s="63"/>
    </row>
    <row r="285" ht="15.75" customHeight="1">
      <c r="J285" s="63"/>
      <c r="K285" s="63"/>
    </row>
    <row r="286" ht="15.75" customHeight="1">
      <c r="J286" s="63"/>
      <c r="K286" s="63"/>
    </row>
    <row r="287" ht="15.75" customHeight="1">
      <c r="J287" s="63"/>
      <c r="K287" s="63"/>
    </row>
    <row r="288" ht="15.75" customHeight="1">
      <c r="J288" s="63"/>
      <c r="K288" s="63"/>
    </row>
    <row r="289" ht="15.75" customHeight="1">
      <c r="J289" s="63"/>
      <c r="K289" s="63"/>
    </row>
    <row r="290" ht="15.75" customHeight="1">
      <c r="J290" s="63"/>
      <c r="K290" s="63"/>
    </row>
    <row r="291" ht="15.75" customHeight="1">
      <c r="J291" s="63"/>
      <c r="K291" s="63"/>
    </row>
    <row r="292" ht="15.75" customHeight="1">
      <c r="J292" s="63"/>
      <c r="K292" s="63"/>
    </row>
    <row r="293" ht="15.75" customHeight="1">
      <c r="J293" s="63"/>
      <c r="K293" s="63"/>
    </row>
    <row r="294" ht="15.75" customHeight="1">
      <c r="J294" s="63"/>
      <c r="K294" s="63"/>
    </row>
    <row r="295" ht="15.75" customHeight="1">
      <c r="J295" s="63"/>
      <c r="K295" s="63"/>
    </row>
    <row r="296" ht="15.75" customHeight="1">
      <c r="J296" s="63"/>
      <c r="K296" s="63"/>
    </row>
    <row r="297" ht="15.75" customHeight="1">
      <c r="J297" s="63"/>
      <c r="K297" s="63"/>
    </row>
    <row r="298" ht="15.75" customHeight="1">
      <c r="J298" s="63"/>
      <c r="K298" s="63"/>
    </row>
    <row r="299" ht="15.75" customHeight="1">
      <c r="J299" s="63"/>
      <c r="K299" s="63"/>
    </row>
    <row r="300" ht="15.75" customHeight="1">
      <c r="J300" s="63"/>
      <c r="K300" s="63"/>
    </row>
    <row r="301" ht="15.75" customHeight="1">
      <c r="J301" s="63"/>
      <c r="K301" s="63"/>
    </row>
    <row r="302" ht="15.75" customHeight="1">
      <c r="J302" s="63"/>
      <c r="K302" s="63"/>
    </row>
    <row r="303" ht="15.75" customHeight="1">
      <c r="J303" s="63"/>
      <c r="K303" s="63"/>
    </row>
    <row r="304" ht="15.75" customHeight="1">
      <c r="J304" s="63"/>
      <c r="K304" s="63"/>
    </row>
    <row r="305" ht="15.75" customHeight="1">
      <c r="J305" s="63"/>
      <c r="K305" s="63"/>
    </row>
    <row r="306" ht="15.75" customHeight="1">
      <c r="J306" s="63"/>
      <c r="K306" s="63"/>
    </row>
    <row r="307" ht="15.75" customHeight="1">
      <c r="J307" s="63"/>
      <c r="K307" s="63"/>
    </row>
    <row r="308" ht="15.75" customHeight="1">
      <c r="J308" s="63"/>
      <c r="K308" s="63"/>
    </row>
    <row r="309" ht="15.75" customHeight="1">
      <c r="J309" s="63"/>
      <c r="K309" s="63"/>
    </row>
    <row r="310" ht="15.75" customHeight="1">
      <c r="J310" s="63"/>
      <c r="K310" s="63"/>
    </row>
    <row r="311" ht="15.75" customHeight="1">
      <c r="J311" s="63"/>
      <c r="K311" s="63"/>
    </row>
    <row r="312" ht="15.75" customHeight="1">
      <c r="J312" s="63"/>
      <c r="K312" s="63"/>
    </row>
    <row r="313" ht="15.75" customHeight="1">
      <c r="J313" s="63"/>
      <c r="K313" s="63"/>
    </row>
    <row r="314" ht="15.75" customHeight="1">
      <c r="J314" s="63"/>
      <c r="K314" s="63"/>
    </row>
    <row r="315" ht="15.75" customHeight="1">
      <c r="J315" s="63"/>
      <c r="K315" s="63"/>
    </row>
    <row r="316" ht="15.75" customHeight="1">
      <c r="J316" s="63"/>
      <c r="K316" s="63"/>
    </row>
    <row r="317" ht="15.75" customHeight="1">
      <c r="J317" s="63"/>
      <c r="K317" s="63"/>
    </row>
    <row r="318" ht="15.75" customHeight="1">
      <c r="J318" s="63"/>
      <c r="K318" s="63"/>
    </row>
    <row r="319" ht="15.75" customHeight="1">
      <c r="J319" s="63"/>
      <c r="K319" s="63"/>
    </row>
    <row r="320" ht="15.75" customHeight="1">
      <c r="J320" s="63"/>
      <c r="K320" s="63"/>
    </row>
    <row r="321" ht="15.75" customHeight="1">
      <c r="J321" s="63"/>
      <c r="K321" s="63"/>
    </row>
    <row r="322" ht="15.75" customHeight="1">
      <c r="J322" s="63"/>
      <c r="K322" s="63"/>
    </row>
    <row r="323" ht="15.75" customHeight="1">
      <c r="J323" s="63"/>
      <c r="K323" s="63"/>
    </row>
    <row r="324" ht="15.75" customHeight="1">
      <c r="J324" s="63"/>
      <c r="K324" s="63"/>
    </row>
    <row r="325" ht="15.75" customHeight="1">
      <c r="J325" s="63"/>
      <c r="K325" s="63"/>
    </row>
    <row r="326" ht="15.75" customHeight="1">
      <c r="J326" s="63"/>
      <c r="K326" s="63"/>
    </row>
    <row r="327" ht="15.75" customHeight="1">
      <c r="J327" s="63"/>
      <c r="K327" s="63"/>
    </row>
    <row r="328" ht="15.75" customHeight="1">
      <c r="J328" s="63"/>
      <c r="K328" s="63"/>
    </row>
    <row r="329" ht="15.75" customHeight="1">
      <c r="J329" s="63"/>
      <c r="K329" s="63"/>
    </row>
    <row r="330" ht="15.75" customHeight="1">
      <c r="J330" s="63"/>
      <c r="K330" s="63"/>
    </row>
    <row r="331" ht="15.75" customHeight="1">
      <c r="J331" s="63"/>
      <c r="K331" s="63"/>
    </row>
    <row r="332" ht="15.75" customHeight="1">
      <c r="J332" s="63"/>
      <c r="K332" s="63"/>
    </row>
    <row r="333" ht="15.75" customHeight="1">
      <c r="J333" s="63"/>
      <c r="K333" s="63"/>
    </row>
    <row r="334" ht="15.75" customHeight="1">
      <c r="J334" s="63"/>
      <c r="K334" s="63"/>
    </row>
    <row r="335" ht="15.75" customHeight="1">
      <c r="J335" s="63"/>
      <c r="K335" s="63"/>
    </row>
    <row r="336" ht="15.75" customHeight="1">
      <c r="J336" s="63"/>
      <c r="K336" s="63"/>
    </row>
    <row r="337" ht="15.75" customHeight="1">
      <c r="J337" s="63"/>
      <c r="K337" s="63"/>
    </row>
    <row r="338" ht="15.75" customHeight="1">
      <c r="J338" s="63"/>
      <c r="K338" s="63"/>
    </row>
    <row r="339" ht="15.75" customHeight="1">
      <c r="J339" s="63"/>
      <c r="K339" s="63"/>
    </row>
    <row r="340" ht="15.75" customHeight="1">
      <c r="J340" s="63"/>
      <c r="K340" s="63"/>
    </row>
    <row r="341" ht="15.75" customHeight="1">
      <c r="J341" s="63"/>
      <c r="K341" s="63"/>
    </row>
    <row r="342" ht="15.75" customHeight="1">
      <c r="J342" s="63"/>
      <c r="K342" s="63"/>
    </row>
    <row r="343" ht="15.75" customHeight="1">
      <c r="J343" s="63"/>
      <c r="K343" s="63"/>
    </row>
    <row r="344" ht="15.75" customHeight="1">
      <c r="J344" s="63"/>
      <c r="K344" s="63"/>
    </row>
    <row r="345" ht="15.75" customHeight="1">
      <c r="J345" s="63"/>
      <c r="K345" s="63"/>
    </row>
    <row r="346" ht="15.75" customHeight="1">
      <c r="J346" s="63"/>
      <c r="K346" s="63"/>
    </row>
    <row r="347" ht="15.75" customHeight="1">
      <c r="J347" s="63"/>
      <c r="K347" s="63"/>
    </row>
    <row r="348" ht="15.75" customHeight="1">
      <c r="J348" s="63"/>
      <c r="K348" s="63"/>
    </row>
    <row r="349" ht="15.75" customHeight="1">
      <c r="J349" s="63"/>
      <c r="K349" s="63"/>
    </row>
    <row r="350" ht="15.75" customHeight="1">
      <c r="J350" s="63"/>
      <c r="K350" s="63"/>
    </row>
    <row r="351" ht="15.75" customHeight="1">
      <c r="J351" s="63"/>
      <c r="K351" s="63"/>
    </row>
    <row r="352" ht="15.75" customHeight="1">
      <c r="J352" s="63"/>
      <c r="K352" s="63"/>
    </row>
    <row r="353" ht="15.75" customHeight="1">
      <c r="J353" s="63"/>
      <c r="K353" s="63"/>
    </row>
    <row r="354" ht="15.75" customHeight="1">
      <c r="J354" s="63"/>
      <c r="K354" s="63"/>
    </row>
    <row r="355" ht="15.75" customHeight="1">
      <c r="J355" s="63"/>
      <c r="K355" s="63"/>
    </row>
    <row r="356" ht="15.75" customHeight="1">
      <c r="J356" s="63"/>
      <c r="K356" s="63"/>
    </row>
    <row r="357" ht="15.75" customHeight="1">
      <c r="J357" s="63"/>
      <c r="K357" s="63"/>
    </row>
    <row r="358" ht="15.75" customHeight="1">
      <c r="J358" s="63"/>
      <c r="K358" s="63"/>
    </row>
    <row r="359" ht="15.75" customHeight="1">
      <c r="J359" s="63"/>
      <c r="K359" s="63"/>
    </row>
    <row r="360" ht="15.75" customHeight="1">
      <c r="J360" s="63"/>
      <c r="K360" s="63"/>
    </row>
    <row r="361" ht="15.75" customHeight="1">
      <c r="J361" s="63"/>
      <c r="K361" s="63"/>
    </row>
    <row r="362" ht="15.75" customHeight="1">
      <c r="J362" s="63"/>
      <c r="K362" s="63"/>
    </row>
    <row r="363" ht="15.75" customHeight="1">
      <c r="J363" s="63"/>
      <c r="K363" s="63"/>
    </row>
    <row r="364" ht="15.75" customHeight="1">
      <c r="J364" s="63"/>
      <c r="K364" s="63"/>
    </row>
    <row r="365" ht="15.75" customHeight="1">
      <c r="J365" s="63"/>
      <c r="K365" s="63"/>
    </row>
    <row r="366" ht="15.75" customHeight="1">
      <c r="J366" s="63"/>
      <c r="K366" s="63"/>
    </row>
    <row r="367" ht="15.75" customHeight="1">
      <c r="J367" s="63"/>
      <c r="K367" s="63"/>
    </row>
    <row r="368" ht="15.75" customHeight="1">
      <c r="J368" s="63"/>
      <c r="K368" s="63"/>
    </row>
    <row r="369" ht="15.75" customHeight="1">
      <c r="J369" s="63"/>
      <c r="K369" s="63"/>
    </row>
    <row r="370" ht="15.75" customHeight="1">
      <c r="J370" s="63"/>
      <c r="K370" s="63"/>
    </row>
    <row r="371" ht="15.75" customHeight="1">
      <c r="J371" s="63"/>
      <c r="K371" s="63"/>
    </row>
    <row r="372" ht="15.75" customHeight="1">
      <c r="J372" s="63"/>
      <c r="K372" s="63"/>
    </row>
    <row r="373" ht="15.75" customHeight="1">
      <c r="J373" s="63"/>
      <c r="K373" s="63"/>
    </row>
    <row r="374" ht="15.75" customHeight="1">
      <c r="J374" s="63"/>
      <c r="K374" s="63"/>
    </row>
    <row r="375" ht="15.75" customHeight="1">
      <c r="J375" s="63"/>
      <c r="K375" s="63"/>
    </row>
    <row r="376" ht="15.75" customHeight="1">
      <c r="J376" s="63"/>
      <c r="K376" s="63"/>
    </row>
    <row r="377" ht="15.75" customHeight="1">
      <c r="J377" s="63"/>
      <c r="K377" s="63"/>
    </row>
    <row r="378" ht="15.75" customHeight="1">
      <c r="J378" s="63"/>
      <c r="K378" s="63"/>
    </row>
    <row r="379" ht="15.75" customHeight="1">
      <c r="J379" s="63"/>
      <c r="K379" s="63"/>
    </row>
    <row r="380" ht="15.75" customHeight="1">
      <c r="J380" s="63"/>
      <c r="K380" s="63"/>
    </row>
    <row r="381" ht="15.75" customHeight="1">
      <c r="J381" s="63"/>
      <c r="K381" s="63"/>
    </row>
    <row r="382" ht="15.75" customHeight="1">
      <c r="J382" s="63"/>
      <c r="K382" s="63"/>
    </row>
    <row r="383" ht="15.75" customHeight="1">
      <c r="J383" s="63"/>
      <c r="K383" s="63"/>
    </row>
    <row r="384" ht="15.75" customHeight="1">
      <c r="J384" s="63"/>
      <c r="K384" s="63"/>
    </row>
    <row r="385" ht="15.75" customHeight="1">
      <c r="J385" s="63"/>
      <c r="K385" s="63"/>
    </row>
    <row r="386" ht="15.75" customHeight="1">
      <c r="J386" s="63"/>
      <c r="K386" s="63"/>
    </row>
    <row r="387" ht="15.75" customHeight="1">
      <c r="J387" s="63"/>
      <c r="K387" s="63"/>
    </row>
    <row r="388" ht="15.75" customHeight="1">
      <c r="J388" s="63"/>
      <c r="K388" s="63"/>
    </row>
    <row r="389" ht="15.75" customHeight="1">
      <c r="J389" s="63"/>
      <c r="K389" s="63"/>
    </row>
    <row r="390" ht="15.75" customHeight="1">
      <c r="J390" s="63"/>
      <c r="K390" s="63"/>
    </row>
    <row r="391" ht="15.75" customHeight="1">
      <c r="J391" s="63"/>
      <c r="K391" s="63"/>
    </row>
    <row r="392" ht="15.75" customHeight="1">
      <c r="J392" s="63"/>
      <c r="K392" s="63"/>
    </row>
    <row r="393" ht="15.75" customHeight="1">
      <c r="J393" s="63"/>
      <c r="K393" s="63"/>
    </row>
    <row r="394" ht="15.75" customHeight="1">
      <c r="J394" s="63"/>
      <c r="K394" s="63"/>
    </row>
    <row r="395" ht="15.75" customHeight="1">
      <c r="J395" s="63"/>
      <c r="K395" s="63"/>
    </row>
    <row r="396" ht="15.75" customHeight="1">
      <c r="J396" s="63"/>
      <c r="K396" s="63"/>
    </row>
    <row r="397" ht="15.75" customHeight="1">
      <c r="J397" s="63"/>
      <c r="K397" s="63"/>
    </row>
    <row r="398" ht="15.75" customHeight="1">
      <c r="J398" s="63"/>
      <c r="K398" s="63"/>
    </row>
    <row r="399" ht="15.75" customHeight="1">
      <c r="J399" s="63"/>
      <c r="K399" s="63"/>
    </row>
    <row r="400" ht="15.75" customHeight="1">
      <c r="J400" s="63"/>
      <c r="K400" s="63"/>
    </row>
    <row r="401" ht="15.75" customHeight="1">
      <c r="J401" s="63"/>
      <c r="K401" s="63"/>
    </row>
    <row r="402" ht="15.75" customHeight="1">
      <c r="J402" s="63"/>
      <c r="K402" s="63"/>
    </row>
    <row r="403" ht="15.75" customHeight="1">
      <c r="J403" s="63"/>
      <c r="K403" s="63"/>
    </row>
    <row r="404" ht="15.75" customHeight="1">
      <c r="J404" s="63"/>
      <c r="K404" s="63"/>
    </row>
    <row r="405" ht="15.75" customHeight="1">
      <c r="J405" s="63"/>
      <c r="K405" s="63"/>
    </row>
    <row r="406" ht="15.75" customHeight="1">
      <c r="J406" s="63"/>
      <c r="K406" s="63"/>
    </row>
    <row r="407" ht="15.75" customHeight="1">
      <c r="J407" s="63"/>
      <c r="K407" s="63"/>
    </row>
    <row r="408" ht="15.75" customHeight="1">
      <c r="J408" s="63"/>
      <c r="K408" s="63"/>
    </row>
    <row r="409" ht="15.75" customHeight="1">
      <c r="J409" s="63"/>
      <c r="K409" s="63"/>
    </row>
    <row r="410" ht="15.75" customHeight="1">
      <c r="J410" s="63"/>
      <c r="K410" s="63"/>
    </row>
    <row r="411" ht="15.75" customHeight="1">
      <c r="J411" s="63"/>
      <c r="K411" s="63"/>
    </row>
    <row r="412" ht="15.75" customHeight="1">
      <c r="J412" s="63"/>
      <c r="K412" s="63"/>
    </row>
    <row r="413" ht="15.75" customHeight="1">
      <c r="J413" s="63"/>
      <c r="K413" s="63"/>
    </row>
    <row r="414" ht="15.75" customHeight="1">
      <c r="J414" s="63"/>
      <c r="K414" s="63"/>
    </row>
    <row r="415" ht="15.75" customHeight="1">
      <c r="J415" s="63"/>
      <c r="K415" s="63"/>
    </row>
    <row r="416" ht="15.75" customHeight="1">
      <c r="J416" s="63"/>
      <c r="K416" s="63"/>
    </row>
    <row r="417" ht="15.75" customHeight="1">
      <c r="J417" s="63"/>
      <c r="K417" s="63"/>
    </row>
    <row r="418" ht="15.75" customHeight="1">
      <c r="J418" s="63"/>
      <c r="K418" s="63"/>
    </row>
    <row r="419" ht="15.75" customHeight="1">
      <c r="J419" s="63"/>
      <c r="K419" s="63"/>
    </row>
    <row r="420" ht="15.75" customHeight="1">
      <c r="J420" s="63"/>
      <c r="K420" s="63"/>
    </row>
    <row r="421" ht="15.75" customHeight="1">
      <c r="J421" s="63"/>
      <c r="K421" s="63"/>
    </row>
    <row r="422" ht="15.75" customHeight="1">
      <c r="J422" s="63"/>
      <c r="K422" s="63"/>
    </row>
    <row r="423" ht="15.75" customHeight="1">
      <c r="J423" s="63"/>
      <c r="K423" s="63"/>
    </row>
    <row r="424" ht="15.75" customHeight="1">
      <c r="J424" s="63"/>
      <c r="K424" s="63"/>
    </row>
    <row r="425" ht="15.75" customHeight="1">
      <c r="J425" s="63"/>
      <c r="K425" s="63"/>
    </row>
    <row r="426" ht="15.75" customHeight="1">
      <c r="J426" s="63"/>
      <c r="K426" s="63"/>
    </row>
    <row r="427" ht="15.75" customHeight="1">
      <c r="J427" s="63"/>
      <c r="K427" s="63"/>
    </row>
    <row r="428" ht="15.75" customHeight="1">
      <c r="J428" s="63"/>
      <c r="K428" s="63"/>
    </row>
    <row r="429" ht="15.75" customHeight="1">
      <c r="J429" s="63"/>
      <c r="K429" s="63"/>
    </row>
    <row r="430" ht="15.75" customHeight="1">
      <c r="J430" s="63"/>
      <c r="K430" s="63"/>
    </row>
    <row r="431" ht="15.75" customHeight="1">
      <c r="J431" s="63"/>
      <c r="K431" s="63"/>
    </row>
    <row r="432" ht="15.75" customHeight="1">
      <c r="J432" s="63"/>
      <c r="K432" s="63"/>
    </row>
    <row r="433" ht="15.75" customHeight="1">
      <c r="J433" s="63"/>
      <c r="K433" s="63"/>
    </row>
    <row r="434" ht="15.75" customHeight="1">
      <c r="J434" s="63"/>
      <c r="K434" s="63"/>
    </row>
    <row r="435" ht="15.75" customHeight="1">
      <c r="J435" s="63"/>
      <c r="K435" s="63"/>
    </row>
    <row r="436" ht="15.75" customHeight="1">
      <c r="J436" s="63"/>
      <c r="K436" s="63"/>
    </row>
    <row r="437" ht="15.75" customHeight="1">
      <c r="J437" s="63"/>
      <c r="K437" s="63"/>
    </row>
    <row r="438" ht="15.75" customHeight="1">
      <c r="J438" s="63"/>
      <c r="K438" s="63"/>
    </row>
    <row r="439" ht="15.75" customHeight="1">
      <c r="J439" s="63"/>
      <c r="K439" s="63"/>
    </row>
    <row r="440" ht="15.75" customHeight="1">
      <c r="J440" s="63"/>
      <c r="K440" s="63"/>
    </row>
    <row r="441" ht="15.75" customHeight="1">
      <c r="J441" s="63"/>
      <c r="K441" s="63"/>
    </row>
    <row r="442" ht="15.75" customHeight="1">
      <c r="J442" s="63"/>
      <c r="K442" s="63"/>
    </row>
    <row r="443" ht="15.75" customHeight="1">
      <c r="J443" s="63"/>
      <c r="K443" s="63"/>
    </row>
    <row r="444" ht="15.75" customHeight="1">
      <c r="J444" s="63"/>
      <c r="K444" s="63"/>
    </row>
    <row r="445" ht="15.75" customHeight="1">
      <c r="J445" s="63"/>
      <c r="K445" s="63"/>
    </row>
    <row r="446" ht="15.75" customHeight="1">
      <c r="J446" s="63"/>
      <c r="K446" s="63"/>
    </row>
    <row r="447" ht="15.75" customHeight="1">
      <c r="J447" s="63"/>
      <c r="K447" s="63"/>
    </row>
    <row r="448" ht="15.75" customHeight="1">
      <c r="J448" s="63"/>
      <c r="K448" s="63"/>
    </row>
    <row r="449" ht="15.75" customHeight="1">
      <c r="J449" s="63"/>
      <c r="K449" s="63"/>
    </row>
    <row r="450" ht="15.75" customHeight="1">
      <c r="J450" s="63"/>
      <c r="K450" s="63"/>
    </row>
    <row r="451" ht="15.75" customHeight="1">
      <c r="J451" s="63"/>
      <c r="K451" s="63"/>
    </row>
    <row r="452" ht="15.75" customHeight="1">
      <c r="J452" s="63"/>
      <c r="K452" s="63"/>
    </row>
    <row r="453" ht="15.75" customHeight="1">
      <c r="J453" s="63"/>
      <c r="K453" s="63"/>
    </row>
    <row r="454" ht="15.75" customHeight="1">
      <c r="J454" s="63"/>
      <c r="K454" s="63"/>
    </row>
    <row r="455" ht="15.75" customHeight="1">
      <c r="J455" s="63"/>
      <c r="K455" s="63"/>
    </row>
    <row r="456" ht="15.75" customHeight="1">
      <c r="J456" s="63"/>
      <c r="K456" s="63"/>
    </row>
    <row r="457" ht="15.75" customHeight="1">
      <c r="J457" s="63"/>
      <c r="K457" s="63"/>
    </row>
    <row r="458" ht="15.75" customHeight="1">
      <c r="J458" s="63"/>
      <c r="K458" s="63"/>
    </row>
    <row r="459" ht="15.75" customHeight="1">
      <c r="J459" s="63"/>
      <c r="K459" s="63"/>
    </row>
    <row r="460" ht="15.75" customHeight="1">
      <c r="J460" s="63"/>
      <c r="K460" s="63"/>
    </row>
    <row r="461" ht="15.75" customHeight="1">
      <c r="J461" s="63"/>
      <c r="K461" s="63"/>
    </row>
    <row r="462" ht="15.75" customHeight="1">
      <c r="J462" s="63"/>
      <c r="K462" s="63"/>
    </row>
    <row r="463" ht="15.75" customHeight="1">
      <c r="J463" s="63"/>
      <c r="K463" s="63"/>
    </row>
    <row r="464" ht="15.75" customHeight="1">
      <c r="J464" s="63"/>
      <c r="K464" s="63"/>
    </row>
    <row r="465" ht="15.75" customHeight="1">
      <c r="J465" s="63"/>
      <c r="K465" s="63"/>
    </row>
    <row r="466" ht="15.75" customHeight="1">
      <c r="J466" s="63"/>
      <c r="K466" s="63"/>
    </row>
    <row r="467" ht="15.75" customHeight="1">
      <c r="J467" s="63"/>
      <c r="K467" s="63"/>
    </row>
    <row r="468" ht="15.75" customHeight="1">
      <c r="J468" s="63"/>
      <c r="K468" s="63"/>
    </row>
    <row r="469" ht="15.75" customHeight="1">
      <c r="J469" s="63"/>
      <c r="K469" s="63"/>
    </row>
    <row r="470" ht="15.75" customHeight="1">
      <c r="J470" s="63"/>
      <c r="K470" s="63"/>
    </row>
    <row r="471" ht="15.75" customHeight="1">
      <c r="J471" s="63"/>
      <c r="K471" s="63"/>
    </row>
    <row r="472" ht="15.75" customHeight="1">
      <c r="J472" s="63"/>
      <c r="K472" s="63"/>
    </row>
    <row r="473" ht="15.75" customHeight="1">
      <c r="J473" s="63"/>
      <c r="K473" s="63"/>
    </row>
    <row r="474" ht="15.75" customHeight="1">
      <c r="J474" s="63"/>
      <c r="K474" s="63"/>
    </row>
    <row r="475" ht="15.75" customHeight="1">
      <c r="J475" s="63"/>
      <c r="K475" s="63"/>
    </row>
    <row r="476" ht="15.75" customHeight="1">
      <c r="J476" s="63"/>
      <c r="K476" s="63"/>
    </row>
    <row r="477" ht="15.75" customHeight="1">
      <c r="J477" s="63"/>
      <c r="K477" s="63"/>
    </row>
    <row r="478" ht="15.75" customHeight="1">
      <c r="J478" s="63"/>
      <c r="K478" s="63"/>
    </row>
    <row r="479" ht="15.75" customHeight="1">
      <c r="J479" s="63"/>
      <c r="K479" s="63"/>
    </row>
    <row r="480" ht="15.75" customHeight="1">
      <c r="J480" s="63"/>
      <c r="K480" s="63"/>
    </row>
    <row r="481" ht="15.75" customHeight="1">
      <c r="J481" s="63"/>
      <c r="K481" s="63"/>
    </row>
    <row r="482" ht="15.75" customHeight="1">
      <c r="J482" s="63"/>
      <c r="K482" s="63"/>
    </row>
    <row r="483" ht="15.75" customHeight="1">
      <c r="J483" s="63"/>
      <c r="K483" s="63"/>
    </row>
    <row r="484" ht="15.75" customHeight="1">
      <c r="J484" s="63"/>
      <c r="K484" s="63"/>
    </row>
    <row r="485" ht="15.75" customHeight="1">
      <c r="J485" s="63"/>
      <c r="K485" s="63"/>
    </row>
    <row r="486" ht="15.75" customHeight="1">
      <c r="J486" s="63"/>
      <c r="K486" s="63"/>
    </row>
    <row r="487" ht="15.75" customHeight="1">
      <c r="J487" s="63"/>
      <c r="K487" s="63"/>
    </row>
    <row r="488" ht="15.75" customHeight="1">
      <c r="J488" s="63"/>
      <c r="K488" s="63"/>
    </row>
    <row r="489" ht="15.75" customHeight="1">
      <c r="J489" s="63"/>
      <c r="K489" s="63"/>
    </row>
    <row r="490" ht="15.75" customHeight="1">
      <c r="J490" s="63"/>
      <c r="K490" s="63"/>
    </row>
    <row r="491" ht="15.75" customHeight="1">
      <c r="J491" s="63"/>
      <c r="K491" s="63"/>
    </row>
    <row r="492" ht="15.75" customHeight="1">
      <c r="J492" s="63"/>
      <c r="K492" s="63"/>
    </row>
    <row r="493" ht="15.75" customHeight="1">
      <c r="J493" s="63"/>
      <c r="K493" s="63"/>
    </row>
    <row r="494" ht="15.75" customHeight="1">
      <c r="J494" s="63"/>
      <c r="K494" s="63"/>
    </row>
    <row r="495" ht="15.75" customHeight="1">
      <c r="J495" s="63"/>
      <c r="K495" s="63"/>
    </row>
    <row r="496" ht="15.75" customHeight="1">
      <c r="J496" s="63"/>
      <c r="K496" s="63"/>
    </row>
    <row r="497" ht="15.75" customHeight="1">
      <c r="J497" s="63"/>
      <c r="K497" s="63"/>
    </row>
    <row r="498" ht="15.75" customHeight="1">
      <c r="J498" s="63"/>
      <c r="K498" s="63"/>
    </row>
    <row r="499" ht="15.75" customHeight="1">
      <c r="J499" s="63"/>
      <c r="K499" s="63"/>
    </row>
    <row r="500" ht="15.75" customHeight="1">
      <c r="J500" s="63"/>
      <c r="K500" s="63"/>
    </row>
    <row r="501" ht="15.75" customHeight="1">
      <c r="J501" s="63"/>
      <c r="K501" s="63"/>
    </row>
    <row r="502" ht="15.75" customHeight="1">
      <c r="J502" s="63"/>
      <c r="K502" s="63"/>
    </row>
    <row r="503" ht="15.75" customHeight="1">
      <c r="J503" s="63"/>
      <c r="K503" s="63"/>
    </row>
    <row r="504" ht="15.75" customHeight="1">
      <c r="J504" s="63"/>
      <c r="K504" s="63"/>
    </row>
    <row r="505" ht="15.75" customHeight="1">
      <c r="J505" s="63"/>
      <c r="K505" s="63"/>
    </row>
    <row r="506" ht="15.75" customHeight="1">
      <c r="J506" s="63"/>
      <c r="K506" s="63"/>
    </row>
    <row r="507" ht="15.75" customHeight="1">
      <c r="J507" s="63"/>
      <c r="K507" s="63"/>
    </row>
    <row r="508" ht="15.75" customHeight="1">
      <c r="J508" s="63"/>
      <c r="K508" s="63"/>
    </row>
    <row r="509" ht="15.75" customHeight="1">
      <c r="J509" s="63"/>
      <c r="K509" s="63"/>
    </row>
    <row r="510" ht="15.75" customHeight="1">
      <c r="J510" s="63"/>
      <c r="K510" s="63"/>
    </row>
    <row r="511" ht="15.75" customHeight="1">
      <c r="J511" s="63"/>
      <c r="K511" s="63"/>
    </row>
    <row r="512" ht="15.75" customHeight="1">
      <c r="J512" s="63"/>
      <c r="K512" s="63"/>
    </row>
    <row r="513" ht="15.75" customHeight="1">
      <c r="J513" s="63"/>
      <c r="K513" s="63"/>
    </row>
    <row r="514" ht="15.75" customHeight="1">
      <c r="J514" s="63"/>
      <c r="K514" s="63"/>
    </row>
    <row r="515" ht="15.75" customHeight="1">
      <c r="J515" s="63"/>
      <c r="K515" s="63"/>
    </row>
    <row r="516" ht="15.75" customHeight="1">
      <c r="J516" s="63"/>
      <c r="K516" s="63"/>
    </row>
    <row r="517" ht="15.75" customHeight="1">
      <c r="J517" s="63"/>
      <c r="K517" s="63"/>
    </row>
    <row r="518" ht="15.75" customHeight="1">
      <c r="J518" s="63"/>
      <c r="K518" s="63"/>
    </row>
    <row r="519" ht="15.75" customHeight="1">
      <c r="J519" s="63"/>
      <c r="K519" s="63"/>
    </row>
    <row r="520" ht="15.75" customHeight="1">
      <c r="J520" s="63"/>
      <c r="K520" s="63"/>
    </row>
    <row r="521" ht="15.75" customHeight="1">
      <c r="J521" s="63"/>
      <c r="K521" s="63"/>
    </row>
    <row r="522" ht="15.75" customHeight="1">
      <c r="J522" s="63"/>
      <c r="K522" s="63"/>
    </row>
    <row r="523" ht="15.75" customHeight="1">
      <c r="J523" s="63"/>
      <c r="K523" s="63"/>
    </row>
    <row r="524" ht="15.75" customHeight="1">
      <c r="J524" s="63"/>
      <c r="K524" s="63"/>
    </row>
    <row r="525" ht="15.75" customHeight="1">
      <c r="J525" s="63"/>
      <c r="K525" s="63"/>
    </row>
    <row r="526" ht="15.75" customHeight="1">
      <c r="J526" s="63"/>
      <c r="K526" s="63"/>
    </row>
    <row r="527" ht="15.75" customHeight="1">
      <c r="J527" s="63"/>
      <c r="K527" s="63"/>
    </row>
    <row r="528" ht="15.75" customHeight="1">
      <c r="J528" s="63"/>
      <c r="K528" s="63"/>
    </row>
    <row r="529" ht="15.75" customHeight="1">
      <c r="J529" s="63"/>
      <c r="K529" s="63"/>
    </row>
    <row r="530" ht="15.75" customHeight="1">
      <c r="J530" s="63"/>
      <c r="K530" s="63"/>
    </row>
    <row r="531" ht="15.75" customHeight="1">
      <c r="J531" s="63"/>
      <c r="K531" s="63"/>
    </row>
    <row r="532" ht="15.75" customHeight="1">
      <c r="J532" s="63"/>
      <c r="K532" s="63"/>
    </row>
    <row r="533" ht="15.75" customHeight="1">
      <c r="J533" s="63"/>
      <c r="K533" s="63"/>
    </row>
    <row r="534" ht="15.75" customHeight="1">
      <c r="J534" s="63"/>
      <c r="K534" s="63"/>
    </row>
    <row r="535" ht="15.75" customHeight="1">
      <c r="J535" s="63"/>
      <c r="K535" s="63"/>
    </row>
    <row r="536" ht="15.75" customHeight="1">
      <c r="J536" s="63"/>
      <c r="K536" s="63"/>
    </row>
    <row r="537" ht="15.75" customHeight="1">
      <c r="J537" s="63"/>
      <c r="K537" s="63"/>
    </row>
    <row r="538" ht="15.75" customHeight="1">
      <c r="J538" s="63"/>
      <c r="K538" s="63"/>
    </row>
    <row r="539" ht="15.75" customHeight="1">
      <c r="J539" s="63"/>
      <c r="K539" s="63"/>
    </row>
    <row r="540" ht="15.75" customHeight="1">
      <c r="J540" s="63"/>
      <c r="K540" s="63"/>
    </row>
    <row r="541" ht="15.75" customHeight="1">
      <c r="J541" s="63"/>
      <c r="K541" s="63"/>
    </row>
    <row r="542" ht="15.75" customHeight="1">
      <c r="J542" s="63"/>
      <c r="K542" s="63"/>
    </row>
    <row r="543" ht="15.75" customHeight="1">
      <c r="J543" s="63"/>
      <c r="K543" s="63"/>
    </row>
    <row r="544" ht="15.75" customHeight="1">
      <c r="J544" s="63"/>
      <c r="K544" s="63"/>
    </row>
    <row r="545" ht="15.75" customHeight="1">
      <c r="J545" s="63"/>
      <c r="K545" s="63"/>
    </row>
    <row r="546" ht="15.75" customHeight="1">
      <c r="J546" s="63"/>
      <c r="K546" s="63"/>
    </row>
    <row r="547" ht="15.75" customHeight="1">
      <c r="J547" s="63"/>
      <c r="K547" s="63"/>
    </row>
    <row r="548" ht="15.75" customHeight="1">
      <c r="J548" s="63"/>
      <c r="K548" s="63"/>
    </row>
    <row r="549" ht="15.75" customHeight="1">
      <c r="J549" s="63"/>
      <c r="K549" s="63"/>
    </row>
    <row r="550" ht="15.75" customHeight="1">
      <c r="J550" s="63"/>
      <c r="K550" s="63"/>
    </row>
    <row r="551" ht="15.75" customHeight="1">
      <c r="J551" s="63"/>
      <c r="K551" s="63"/>
    </row>
    <row r="552" ht="15.75" customHeight="1">
      <c r="J552" s="63"/>
      <c r="K552" s="63"/>
    </row>
    <row r="553" ht="15.75" customHeight="1">
      <c r="J553" s="63"/>
      <c r="K553" s="63"/>
    </row>
    <row r="554" ht="15.75" customHeight="1">
      <c r="J554" s="63"/>
      <c r="K554" s="63"/>
    </row>
    <row r="555" ht="15.75" customHeight="1">
      <c r="J555" s="63"/>
      <c r="K555" s="63"/>
    </row>
    <row r="556" ht="15.75" customHeight="1">
      <c r="J556" s="63"/>
      <c r="K556" s="63"/>
    </row>
    <row r="557" ht="15.75" customHeight="1">
      <c r="J557" s="63"/>
      <c r="K557" s="63"/>
    </row>
    <row r="558" ht="15.75" customHeight="1">
      <c r="J558" s="63"/>
      <c r="K558" s="63"/>
    </row>
    <row r="559" ht="15.75" customHeight="1">
      <c r="J559" s="63"/>
      <c r="K559" s="63"/>
    </row>
    <row r="560" ht="15.75" customHeight="1">
      <c r="J560" s="63"/>
      <c r="K560" s="63"/>
    </row>
    <row r="561" ht="15.75" customHeight="1">
      <c r="J561" s="63"/>
      <c r="K561" s="63"/>
    </row>
    <row r="562" ht="15.75" customHeight="1">
      <c r="J562" s="63"/>
      <c r="K562" s="63"/>
    </row>
    <row r="563" ht="15.75" customHeight="1">
      <c r="J563" s="63"/>
      <c r="K563" s="63"/>
    </row>
    <row r="564" ht="15.75" customHeight="1">
      <c r="J564" s="63"/>
      <c r="K564" s="63"/>
    </row>
    <row r="565" ht="15.75" customHeight="1">
      <c r="J565" s="63"/>
      <c r="K565" s="63"/>
    </row>
    <row r="566" ht="15.75" customHeight="1">
      <c r="J566" s="63"/>
      <c r="K566" s="63"/>
    </row>
    <row r="567" ht="15.75" customHeight="1">
      <c r="J567" s="63"/>
      <c r="K567" s="63"/>
    </row>
    <row r="568" ht="15.75" customHeight="1">
      <c r="J568" s="63"/>
      <c r="K568" s="63"/>
    </row>
    <row r="569" ht="15.75" customHeight="1">
      <c r="J569" s="63"/>
      <c r="K569" s="63"/>
    </row>
    <row r="570" ht="15.75" customHeight="1">
      <c r="J570" s="63"/>
      <c r="K570" s="63"/>
    </row>
    <row r="571" ht="15.75" customHeight="1">
      <c r="J571" s="63"/>
      <c r="K571" s="63"/>
    </row>
    <row r="572" ht="15.75" customHeight="1">
      <c r="J572" s="63"/>
      <c r="K572" s="63"/>
    </row>
    <row r="573" ht="15.75" customHeight="1">
      <c r="J573" s="63"/>
      <c r="K573" s="63"/>
    </row>
    <row r="574" ht="15.75" customHeight="1">
      <c r="J574" s="63"/>
      <c r="K574" s="63"/>
    </row>
    <row r="575" ht="15.75" customHeight="1">
      <c r="J575" s="63"/>
      <c r="K575" s="63"/>
    </row>
    <row r="576" ht="15.75" customHeight="1">
      <c r="J576" s="63"/>
      <c r="K576" s="63"/>
    </row>
    <row r="577" ht="15.75" customHeight="1">
      <c r="J577" s="63"/>
      <c r="K577" s="63"/>
    </row>
    <row r="578" ht="15.75" customHeight="1">
      <c r="J578" s="63"/>
      <c r="K578" s="63"/>
    </row>
    <row r="579" ht="15.75" customHeight="1">
      <c r="J579" s="63"/>
      <c r="K579" s="63"/>
    </row>
    <row r="580" ht="15.75" customHeight="1">
      <c r="J580" s="63"/>
      <c r="K580" s="63"/>
    </row>
    <row r="581" ht="15.75" customHeight="1">
      <c r="J581" s="63"/>
      <c r="K581" s="63"/>
    </row>
    <row r="582" ht="15.75" customHeight="1">
      <c r="J582" s="63"/>
      <c r="K582" s="63"/>
    </row>
    <row r="583" ht="15.75" customHeight="1">
      <c r="J583" s="63"/>
      <c r="K583" s="63"/>
    </row>
    <row r="584" ht="15.75" customHeight="1">
      <c r="J584" s="63"/>
      <c r="K584" s="63"/>
    </row>
    <row r="585" ht="15.75" customHeight="1">
      <c r="J585" s="63"/>
      <c r="K585" s="63"/>
    </row>
    <row r="586" ht="15.75" customHeight="1">
      <c r="J586" s="63"/>
      <c r="K586" s="63"/>
    </row>
    <row r="587" ht="15.75" customHeight="1">
      <c r="J587" s="63"/>
      <c r="K587" s="63"/>
    </row>
    <row r="588" ht="15.75" customHeight="1">
      <c r="J588" s="63"/>
      <c r="K588" s="63"/>
    </row>
    <row r="589" ht="15.75" customHeight="1">
      <c r="J589" s="63"/>
      <c r="K589" s="63"/>
    </row>
    <row r="590" ht="15.75" customHeight="1">
      <c r="J590" s="63"/>
      <c r="K590" s="63"/>
    </row>
    <row r="591" ht="15.75" customHeight="1">
      <c r="J591" s="63"/>
      <c r="K591" s="63"/>
    </row>
    <row r="592" ht="15.75" customHeight="1">
      <c r="J592" s="63"/>
      <c r="K592" s="63"/>
    </row>
    <row r="593" ht="15.75" customHeight="1">
      <c r="J593" s="63"/>
      <c r="K593" s="63"/>
    </row>
    <row r="594" ht="15.75" customHeight="1">
      <c r="J594" s="63"/>
      <c r="K594" s="63"/>
    </row>
    <row r="595" ht="15.75" customHeight="1">
      <c r="J595" s="63"/>
      <c r="K595" s="63"/>
    </row>
    <row r="596" ht="15.75" customHeight="1">
      <c r="J596" s="63"/>
      <c r="K596" s="63"/>
    </row>
    <row r="597" ht="15.75" customHeight="1">
      <c r="J597" s="63"/>
      <c r="K597" s="63"/>
    </row>
    <row r="598" ht="15.75" customHeight="1">
      <c r="J598" s="63"/>
      <c r="K598" s="63"/>
    </row>
    <row r="599" ht="15.75" customHeight="1">
      <c r="J599" s="63"/>
      <c r="K599" s="63"/>
    </row>
    <row r="600" ht="15.75" customHeight="1">
      <c r="J600" s="63"/>
      <c r="K600" s="63"/>
    </row>
    <row r="601" ht="15.75" customHeight="1">
      <c r="J601" s="63"/>
      <c r="K601" s="63"/>
    </row>
    <row r="602" ht="15.75" customHeight="1">
      <c r="J602" s="63"/>
      <c r="K602" s="63"/>
    </row>
    <row r="603" ht="15.75" customHeight="1">
      <c r="J603" s="63"/>
      <c r="K603" s="63"/>
    </row>
    <row r="604" ht="15.75" customHeight="1">
      <c r="J604" s="63"/>
      <c r="K604" s="63"/>
    </row>
    <row r="605" ht="15.75" customHeight="1">
      <c r="J605" s="63"/>
      <c r="K605" s="63"/>
    </row>
    <row r="606" ht="15.75" customHeight="1">
      <c r="J606" s="63"/>
      <c r="K606" s="63"/>
    </row>
    <row r="607" ht="15.75" customHeight="1">
      <c r="J607" s="63"/>
      <c r="K607" s="63"/>
    </row>
    <row r="608" ht="15.75" customHeight="1">
      <c r="J608" s="63"/>
      <c r="K608" s="63"/>
    </row>
    <row r="609" ht="15.75" customHeight="1">
      <c r="J609" s="63"/>
      <c r="K609" s="63"/>
    </row>
    <row r="610" ht="15.75" customHeight="1">
      <c r="J610" s="63"/>
      <c r="K610" s="63"/>
    </row>
    <row r="611" ht="15.75" customHeight="1">
      <c r="J611" s="63"/>
      <c r="K611" s="63"/>
    </row>
    <row r="612" ht="15.75" customHeight="1">
      <c r="J612" s="63"/>
      <c r="K612" s="63"/>
    </row>
    <row r="613" ht="15.75" customHeight="1">
      <c r="J613" s="63"/>
      <c r="K613" s="63"/>
    </row>
    <row r="614" ht="15.75" customHeight="1">
      <c r="J614" s="63"/>
      <c r="K614" s="63"/>
    </row>
    <row r="615" ht="15.75" customHeight="1">
      <c r="J615" s="63"/>
      <c r="K615" s="63"/>
    </row>
    <row r="616" ht="15.75" customHeight="1">
      <c r="J616" s="63"/>
      <c r="K616" s="63"/>
    </row>
    <row r="617" ht="15.75" customHeight="1">
      <c r="J617" s="63"/>
      <c r="K617" s="63"/>
    </row>
    <row r="618" ht="15.75" customHeight="1">
      <c r="J618" s="63"/>
      <c r="K618" s="63"/>
    </row>
    <row r="619" ht="15.75" customHeight="1">
      <c r="J619" s="63"/>
      <c r="K619" s="63"/>
    </row>
    <row r="620" ht="15.75" customHeight="1">
      <c r="J620" s="63"/>
      <c r="K620" s="63"/>
    </row>
    <row r="621" ht="15.75" customHeight="1">
      <c r="J621" s="63"/>
      <c r="K621" s="63"/>
    </row>
    <row r="622" ht="15.75" customHeight="1">
      <c r="J622" s="63"/>
      <c r="K622" s="63"/>
    </row>
    <row r="623" ht="15.75" customHeight="1">
      <c r="J623" s="63"/>
      <c r="K623" s="63"/>
    </row>
    <row r="624" ht="15.75" customHeight="1">
      <c r="J624" s="63"/>
      <c r="K624" s="63"/>
    </row>
    <row r="625" ht="15.75" customHeight="1">
      <c r="J625" s="63"/>
      <c r="K625" s="63"/>
    </row>
    <row r="626" ht="15.75" customHeight="1">
      <c r="J626" s="63"/>
      <c r="K626" s="63"/>
    </row>
    <row r="627" ht="15.75" customHeight="1">
      <c r="J627" s="63"/>
      <c r="K627" s="63"/>
    </row>
    <row r="628" ht="15.75" customHeight="1">
      <c r="J628" s="63"/>
      <c r="K628" s="63"/>
    </row>
    <row r="629" ht="15.75" customHeight="1">
      <c r="J629" s="63"/>
      <c r="K629" s="63"/>
    </row>
    <row r="630" ht="15.75" customHeight="1">
      <c r="J630" s="63"/>
      <c r="K630" s="63"/>
    </row>
    <row r="631" ht="15.75" customHeight="1">
      <c r="J631" s="63"/>
      <c r="K631" s="63"/>
    </row>
    <row r="632" ht="15.75" customHeight="1">
      <c r="J632" s="63"/>
      <c r="K632" s="63"/>
    </row>
    <row r="633" ht="15.75" customHeight="1">
      <c r="J633" s="63"/>
      <c r="K633" s="63"/>
    </row>
    <row r="634" ht="15.75" customHeight="1">
      <c r="J634" s="63"/>
      <c r="K634" s="63"/>
    </row>
    <row r="635" ht="15.75" customHeight="1">
      <c r="J635" s="63"/>
      <c r="K635" s="63"/>
    </row>
    <row r="636" ht="15.75" customHeight="1">
      <c r="J636" s="63"/>
      <c r="K636" s="63"/>
    </row>
    <row r="637" ht="15.75" customHeight="1">
      <c r="J637" s="63"/>
      <c r="K637" s="63"/>
    </row>
    <row r="638" ht="15.75" customHeight="1">
      <c r="J638" s="63"/>
      <c r="K638" s="63"/>
    </row>
    <row r="639" ht="15.75" customHeight="1">
      <c r="J639" s="63"/>
      <c r="K639" s="63"/>
    </row>
    <row r="640" ht="15.75" customHeight="1">
      <c r="J640" s="63"/>
      <c r="K640" s="63"/>
    </row>
    <row r="641" ht="15.75" customHeight="1">
      <c r="J641" s="63"/>
      <c r="K641" s="63"/>
    </row>
    <row r="642" ht="15.75" customHeight="1">
      <c r="J642" s="63"/>
      <c r="K642" s="63"/>
    </row>
    <row r="643" ht="15.75" customHeight="1">
      <c r="J643" s="63"/>
      <c r="K643" s="63"/>
    </row>
    <row r="644" ht="15.75" customHeight="1">
      <c r="J644" s="63"/>
      <c r="K644" s="63"/>
    </row>
    <row r="645" ht="15.75" customHeight="1">
      <c r="J645" s="63"/>
      <c r="K645" s="63"/>
    </row>
    <row r="646" ht="15.75" customHeight="1">
      <c r="J646" s="63"/>
      <c r="K646" s="63"/>
    </row>
    <row r="647" ht="15.75" customHeight="1">
      <c r="J647" s="63"/>
      <c r="K647" s="63"/>
    </row>
    <row r="648" ht="15.75" customHeight="1">
      <c r="J648" s="63"/>
      <c r="K648" s="63"/>
    </row>
    <row r="649" ht="15.75" customHeight="1">
      <c r="J649" s="63"/>
      <c r="K649" s="63"/>
    </row>
    <row r="650" ht="15.75" customHeight="1">
      <c r="J650" s="63"/>
      <c r="K650" s="63"/>
    </row>
    <row r="651" ht="15.75" customHeight="1">
      <c r="J651" s="63"/>
      <c r="K651" s="63"/>
    </row>
    <row r="652" ht="15.75" customHeight="1">
      <c r="J652" s="63"/>
      <c r="K652" s="63"/>
    </row>
    <row r="653" ht="15.75" customHeight="1">
      <c r="J653" s="63"/>
      <c r="K653" s="63"/>
    </row>
    <row r="654" ht="15.75" customHeight="1">
      <c r="J654" s="63"/>
      <c r="K654" s="63"/>
    </row>
    <row r="655" ht="15.75" customHeight="1">
      <c r="J655" s="63"/>
      <c r="K655" s="63"/>
    </row>
    <row r="656" ht="15.75" customHeight="1">
      <c r="J656" s="63"/>
      <c r="K656" s="63"/>
    </row>
    <row r="657" ht="15.75" customHeight="1">
      <c r="J657" s="63"/>
      <c r="K657" s="63"/>
    </row>
    <row r="658" ht="15.75" customHeight="1">
      <c r="J658" s="63"/>
      <c r="K658" s="63"/>
    </row>
    <row r="659" ht="15.75" customHeight="1">
      <c r="J659" s="63"/>
      <c r="K659" s="63"/>
    </row>
    <row r="660" ht="15.75" customHeight="1">
      <c r="J660" s="63"/>
      <c r="K660" s="63"/>
    </row>
    <row r="661" ht="15.75" customHeight="1">
      <c r="J661" s="63"/>
      <c r="K661" s="63"/>
    </row>
    <row r="662" ht="15.75" customHeight="1">
      <c r="J662" s="63"/>
      <c r="K662" s="63"/>
    </row>
    <row r="663" ht="15.75" customHeight="1">
      <c r="J663" s="63"/>
      <c r="K663" s="63"/>
    </row>
    <row r="664" ht="15.75" customHeight="1">
      <c r="J664" s="63"/>
      <c r="K664" s="63"/>
    </row>
    <row r="665" ht="15.75" customHeight="1">
      <c r="J665" s="63"/>
      <c r="K665" s="63"/>
    </row>
    <row r="666" ht="15.75" customHeight="1">
      <c r="J666" s="63"/>
      <c r="K666" s="63"/>
    </row>
    <row r="667" ht="15.75" customHeight="1">
      <c r="J667" s="63"/>
      <c r="K667" s="63"/>
    </row>
    <row r="668" ht="15.75" customHeight="1">
      <c r="J668" s="63"/>
      <c r="K668" s="63"/>
    </row>
    <row r="669" ht="15.75" customHeight="1">
      <c r="J669" s="63"/>
      <c r="K669" s="63"/>
    </row>
    <row r="670" ht="15.75" customHeight="1">
      <c r="J670" s="63"/>
      <c r="K670" s="63"/>
    </row>
    <row r="671" ht="15.75" customHeight="1">
      <c r="J671" s="63"/>
      <c r="K671" s="63"/>
    </row>
    <row r="672" ht="15.75" customHeight="1">
      <c r="J672" s="63"/>
      <c r="K672" s="63"/>
    </row>
    <row r="673" ht="15.75" customHeight="1">
      <c r="J673" s="63"/>
      <c r="K673" s="63"/>
    </row>
    <row r="674" ht="15.75" customHeight="1">
      <c r="J674" s="63"/>
      <c r="K674" s="63"/>
    </row>
    <row r="675" ht="15.75" customHeight="1">
      <c r="J675" s="63"/>
      <c r="K675" s="63"/>
    </row>
    <row r="676" ht="15.75" customHeight="1">
      <c r="J676" s="63"/>
      <c r="K676" s="63"/>
    </row>
    <row r="677" ht="15.75" customHeight="1">
      <c r="J677" s="63"/>
      <c r="K677" s="63"/>
    </row>
    <row r="678" ht="15.75" customHeight="1">
      <c r="J678" s="63"/>
      <c r="K678" s="63"/>
    </row>
    <row r="679" ht="15.75" customHeight="1">
      <c r="J679" s="63"/>
      <c r="K679" s="63"/>
    </row>
    <row r="680" ht="15.75" customHeight="1">
      <c r="J680" s="63"/>
      <c r="K680" s="63"/>
    </row>
    <row r="681" ht="15.75" customHeight="1">
      <c r="J681" s="63"/>
      <c r="K681" s="63"/>
    </row>
    <row r="682" ht="15.75" customHeight="1">
      <c r="J682" s="63"/>
      <c r="K682" s="63"/>
    </row>
    <row r="683" ht="15.75" customHeight="1">
      <c r="J683" s="63"/>
      <c r="K683" s="63"/>
    </row>
    <row r="684" ht="15.75" customHeight="1">
      <c r="J684" s="63"/>
      <c r="K684" s="63"/>
    </row>
    <row r="685" ht="15.75" customHeight="1">
      <c r="J685" s="63"/>
      <c r="K685" s="63"/>
    </row>
    <row r="686" ht="15.75" customHeight="1">
      <c r="J686" s="63"/>
      <c r="K686" s="63"/>
    </row>
    <row r="687" ht="15.75" customHeight="1">
      <c r="J687" s="63"/>
      <c r="K687" s="63"/>
    </row>
    <row r="688" ht="15.75" customHeight="1">
      <c r="J688" s="63"/>
      <c r="K688" s="63"/>
    </row>
    <row r="689" ht="15.75" customHeight="1">
      <c r="J689" s="63"/>
      <c r="K689" s="63"/>
    </row>
    <row r="690" ht="15.75" customHeight="1">
      <c r="J690" s="63"/>
      <c r="K690" s="63"/>
    </row>
    <row r="691" ht="15.75" customHeight="1">
      <c r="J691" s="63"/>
      <c r="K691" s="63"/>
    </row>
    <row r="692" ht="15.75" customHeight="1">
      <c r="J692" s="63"/>
      <c r="K692" s="63"/>
    </row>
    <row r="693" ht="15.75" customHeight="1">
      <c r="J693" s="63"/>
      <c r="K693" s="63"/>
    </row>
    <row r="694" ht="15.75" customHeight="1">
      <c r="J694" s="63"/>
      <c r="K694" s="63"/>
    </row>
    <row r="695" ht="15.75" customHeight="1">
      <c r="J695" s="63"/>
      <c r="K695" s="63"/>
    </row>
    <row r="696" ht="15.75" customHeight="1">
      <c r="J696" s="63"/>
      <c r="K696" s="63"/>
    </row>
    <row r="697" ht="15.75" customHeight="1">
      <c r="J697" s="63"/>
      <c r="K697" s="63"/>
    </row>
    <row r="698" ht="15.75" customHeight="1">
      <c r="J698" s="63"/>
      <c r="K698" s="63"/>
    </row>
    <row r="699" ht="15.75" customHeight="1">
      <c r="J699" s="63"/>
      <c r="K699" s="63"/>
    </row>
    <row r="700" ht="15.75" customHeight="1">
      <c r="J700" s="63"/>
      <c r="K700" s="63"/>
    </row>
    <row r="701" ht="15.75" customHeight="1">
      <c r="J701" s="63"/>
      <c r="K701" s="63"/>
    </row>
    <row r="702" ht="15.75" customHeight="1">
      <c r="J702" s="63"/>
      <c r="K702" s="63"/>
    </row>
    <row r="703" ht="15.75" customHeight="1">
      <c r="J703" s="63"/>
      <c r="K703" s="63"/>
    </row>
    <row r="704" ht="15.75" customHeight="1">
      <c r="J704" s="63"/>
      <c r="K704" s="63"/>
    </row>
    <row r="705" ht="15.75" customHeight="1">
      <c r="J705" s="63"/>
      <c r="K705" s="63"/>
    </row>
    <row r="706" ht="15.75" customHeight="1">
      <c r="J706" s="63"/>
      <c r="K706" s="63"/>
    </row>
    <row r="707" ht="15.75" customHeight="1">
      <c r="J707" s="63"/>
      <c r="K707" s="63"/>
    </row>
    <row r="708" ht="15.75" customHeight="1">
      <c r="J708" s="63"/>
      <c r="K708" s="63"/>
    </row>
    <row r="709" ht="15.75" customHeight="1">
      <c r="J709" s="63"/>
      <c r="K709" s="63"/>
    </row>
    <row r="710" ht="15.75" customHeight="1">
      <c r="J710" s="63"/>
      <c r="K710" s="63"/>
    </row>
    <row r="711" ht="15.75" customHeight="1">
      <c r="J711" s="63"/>
      <c r="K711" s="63"/>
    </row>
    <row r="712" ht="15.75" customHeight="1">
      <c r="J712" s="63"/>
      <c r="K712" s="63"/>
    </row>
    <row r="713" ht="15.75" customHeight="1">
      <c r="J713" s="63"/>
      <c r="K713" s="63"/>
    </row>
    <row r="714" ht="15.75" customHeight="1">
      <c r="J714" s="63"/>
      <c r="K714" s="63"/>
    </row>
    <row r="715" ht="15.75" customHeight="1">
      <c r="J715" s="63"/>
      <c r="K715" s="63"/>
    </row>
    <row r="716" ht="15.75" customHeight="1">
      <c r="J716" s="63"/>
      <c r="K716" s="63"/>
    </row>
    <row r="717" ht="15.75" customHeight="1">
      <c r="J717" s="63"/>
      <c r="K717" s="63"/>
    </row>
    <row r="718" ht="15.75" customHeight="1">
      <c r="J718" s="63"/>
      <c r="K718" s="63"/>
    </row>
    <row r="719" ht="15.75" customHeight="1">
      <c r="J719" s="63"/>
      <c r="K719" s="63"/>
    </row>
    <row r="720" ht="15.75" customHeight="1">
      <c r="J720" s="63"/>
      <c r="K720" s="63"/>
    </row>
    <row r="721" ht="15.75" customHeight="1">
      <c r="J721" s="63"/>
      <c r="K721" s="63"/>
    </row>
    <row r="722" ht="15.75" customHeight="1">
      <c r="J722" s="63"/>
      <c r="K722" s="63"/>
    </row>
    <row r="723" ht="15.75" customHeight="1">
      <c r="J723" s="63"/>
      <c r="K723" s="63"/>
    </row>
    <row r="724" ht="15.75" customHeight="1">
      <c r="J724" s="63"/>
      <c r="K724" s="63"/>
    </row>
    <row r="725" ht="15.75" customHeight="1">
      <c r="J725" s="63"/>
      <c r="K725" s="63"/>
    </row>
    <row r="726" ht="15.75" customHeight="1">
      <c r="J726" s="63"/>
      <c r="K726" s="63"/>
    </row>
    <row r="727" ht="15.75" customHeight="1">
      <c r="J727" s="63"/>
      <c r="K727" s="63"/>
    </row>
    <row r="728" ht="15.75" customHeight="1">
      <c r="J728" s="63"/>
      <c r="K728" s="63"/>
    </row>
    <row r="729" ht="15.75" customHeight="1">
      <c r="J729" s="63"/>
      <c r="K729" s="63"/>
    </row>
    <row r="730" ht="15.75" customHeight="1">
      <c r="J730" s="63"/>
      <c r="K730" s="63"/>
    </row>
    <row r="731" ht="15.75" customHeight="1">
      <c r="J731" s="63"/>
      <c r="K731" s="63"/>
    </row>
    <row r="732" ht="15.75" customHeight="1">
      <c r="J732" s="63"/>
      <c r="K732" s="63"/>
    </row>
    <row r="733" ht="15.75" customHeight="1">
      <c r="J733" s="63"/>
      <c r="K733" s="63"/>
    </row>
    <row r="734" ht="15.75" customHeight="1">
      <c r="J734" s="63"/>
      <c r="K734" s="63"/>
    </row>
    <row r="735" ht="15.75" customHeight="1">
      <c r="J735" s="63"/>
      <c r="K735" s="63"/>
    </row>
    <row r="736" ht="15.75" customHeight="1">
      <c r="J736" s="63"/>
      <c r="K736" s="63"/>
    </row>
    <row r="737" ht="15.75" customHeight="1">
      <c r="J737" s="63"/>
      <c r="K737" s="63"/>
    </row>
    <row r="738" ht="15.75" customHeight="1">
      <c r="J738" s="63"/>
      <c r="K738" s="63"/>
    </row>
    <row r="739" ht="15.75" customHeight="1">
      <c r="J739" s="63"/>
      <c r="K739" s="63"/>
    </row>
    <row r="740" ht="15.75" customHeight="1">
      <c r="J740" s="63"/>
      <c r="K740" s="63"/>
    </row>
    <row r="741" ht="15.75" customHeight="1">
      <c r="J741" s="63"/>
      <c r="K741" s="63"/>
    </row>
    <row r="742" ht="15.75" customHeight="1">
      <c r="J742" s="63"/>
      <c r="K742" s="63"/>
    </row>
    <row r="743" ht="15.75" customHeight="1">
      <c r="J743" s="63"/>
      <c r="K743" s="63"/>
    </row>
    <row r="744" ht="15.75" customHeight="1">
      <c r="J744" s="63"/>
      <c r="K744" s="63"/>
    </row>
    <row r="745" ht="15.75" customHeight="1">
      <c r="J745" s="63"/>
      <c r="K745" s="63"/>
    </row>
    <row r="746" ht="15.75" customHeight="1">
      <c r="J746" s="63"/>
      <c r="K746" s="63"/>
    </row>
    <row r="747" ht="15.75" customHeight="1">
      <c r="J747" s="63"/>
      <c r="K747" s="63"/>
    </row>
    <row r="748" ht="15.75" customHeight="1">
      <c r="J748" s="63"/>
      <c r="K748" s="63"/>
    </row>
    <row r="749" ht="15.75" customHeight="1">
      <c r="J749" s="63"/>
      <c r="K749" s="63"/>
    </row>
    <row r="750" ht="15.75" customHeight="1">
      <c r="J750" s="63"/>
      <c r="K750" s="63"/>
    </row>
    <row r="751" ht="15.75" customHeight="1">
      <c r="J751" s="63"/>
      <c r="K751" s="63"/>
    </row>
    <row r="752" ht="15.75" customHeight="1">
      <c r="J752" s="63"/>
      <c r="K752" s="63"/>
    </row>
    <row r="753" ht="15.75" customHeight="1">
      <c r="J753" s="63"/>
      <c r="K753" s="63"/>
    </row>
    <row r="754" ht="15.75" customHeight="1">
      <c r="J754" s="63"/>
      <c r="K754" s="63"/>
    </row>
    <row r="755" ht="15.75" customHeight="1">
      <c r="J755" s="63"/>
      <c r="K755" s="63"/>
    </row>
    <row r="756" ht="15.75" customHeight="1">
      <c r="J756" s="63"/>
      <c r="K756" s="63"/>
    </row>
    <row r="757" ht="15.75" customHeight="1">
      <c r="J757" s="63"/>
      <c r="K757" s="63"/>
    </row>
    <row r="758" ht="15.75" customHeight="1">
      <c r="J758" s="63"/>
      <c r="K758" s="63"/>
    </row>
    <row r="759" ht="15.75" customHeight="1">
      <c r="J759" s="63"/>
      <c r="K759" s="63"/>
    </row>
    <row r="760" ht="15.75" customHeight="1">
      <c r="J760" s="63"/>
      <c r="K760" s="63"/>
    </row>
    <row r="761" ht="15.75" customHeight="1">
      <c r="J761" s="63"/>
      <c r="K761" s="63"/>
    </row>
    <row r="762" ht="15.75" customHeight="1">
      <c r="J762" s="63"/>
      <c r="K762" s="63"/>
    </row>
    <row r="763" ht="15.75" customHeight="1">
      <c r="J763" s="63"/>
      <c r="K763" s="63"/>
    </row>
    <row r="764" ht="15.75" customHeight="1">
      <c r="J764" s="63"/>
      <c r="K764" s="63"/>
    </row>
    <row r="765" ht="15.75" customHeight="1">
      <c r="J765" s="63"/>
      <c r="K765" s="63"/>
    </row>
    <row r="766" ht="15.75" customHeight="1">
      <c r="J766" s="63"/>
      <c r="K766" s="63"/>
    </row>
    <row r="767" ht="15.75" customHeight="1">
      <c r="J767" s="63"/>
      <c r="K767" s="63"/>
    </row>
    <row r="768" ht="15.75" customHeight="1">
      <c r="J768" s="63"/>
      <c r="K768" s="63"/>
    </row>
    <row r="769" ht="15.75" customHeight="1">
      <c r="J769" s="63"/>
      <c r="K769" s="63"/>
    </row>
    <row r="770" ht="15.75" customHeight="1">
      <c r="J770" s="63"/>
      <c r="K770" s="63"/>
    </row>
    <row r="771" ht="15.75" customHeight="1">
      <c r="J771" s="63"/>
      <c r="K771" s="63"/>
    </row>
    <row r="772" ht="15.75" customHeight="1">
      <c r="J772" s="63"/>
      <c r="K772" s="63"/>
    </row>
    <row r="773" ht="15.75" customHeight="1">
      <c r="J773" s="63"/>
      <c r="K773" s="63"/>
    </row>
    <row r="774" ht="15.75" customHeight="1">
      <c r="J774" s="63"/>
      <c r="K774" s="63"/>
    </row>
    <row r="775" ht="15.75" customHeight="1">
      <c r="J775" s="63"/>
      <c r="K775" s="63"/>
    </row>
    <row r="776" ht="15.75" customHeight="1">
      <c r="J776" s="63"/>
      <c r="K776" s="63"/>
    </row>
    <row r="777" ht="15.75" customHeight="1">
      <c r="J777" s="63"/>
      <c r="K777" s="63"/>
    </row>
    <row r="778" ht="15.75" customHeight="1">
      <c r="J778" s="63"/>
      <c r="K778" s="63"/>
    </row>
    <row r="779" ht="15.75" customHeight="1">
      <c r="J779" s="63"/>
      <c r="K779" s="63"/>
    </row>
    <row r="780" ht="15.75" customHeight="1">
      <c r="J780" s="63"/>
      <c r="K780" s="63"/>
    </row>
    <row r="781" ht="15.75" customHeight="1">
      <c r="J781" s="63"/>
      <c r="K781" s="63"/>
    </row>
    <row r="782" ht="15.75" customHeight="1">
      <c r="J782" s="63"/>
      <c r="K782" s="63"/>
    </row>
    <row r="783" ht="15.75" customHeight="1">
      <c r="J783" s="63"/>
      <c r="K783" s="63"/>
    </row>
    <row r="784" ht="15.75" customHeight="1">
      <c r="J784" s="63"/>
      <c r="K784" s="63"/>
    </row>
    <row r="785" ht="15.75" customHeight="1">
      <c r="J785" s="63"/>
      <c r="K785" s="63"/>
    </row>
    <row r="786" ht="15.75" customHeight="1">
      <c r="J786" s="63"/>
      <c r="K786" s="63"/>
    </row>
    <row r="787" ht="15.75" customHeight="1">
      <c r="J787" s="63"/>
      <c r="K787" s="63"/>
    </row>
    <row r="788" ht="15.75" customHeight="1">
      <c r="J788" s="63"/>
      <c r="K788" s="63"/>
    </row>
    <row r="789" ht="15.75" customHeight="1">
      <c r="J789" s="63"/>
      <c r="K789" s="63"/>
    </row>
    <row r="790" ht="15.75" customHeight="1">
      <c r="J790" s="63"/>
      <c r="K790" s="63"/>
    </row>
    <row r="791" ht="15.75" customHeight="1">
      <c r="J791" s="63"/>
      <c r="K791" s="63"/>
    </row>
    <row r="792" ht="15.75" customHeight="1">
      <c r="J792" s="63"/>
      <c r="K792" s="63"/>
    </row>
    <row r="793" ht="15.75" customHeight="1">
      <c r="J793" s="63"/>
      <c r="K793" s="63"/>
    </row>
    <row r="794" ht="15.75" customHeight="1">
      <c r="J794" s="63"/>
      <c r="K794" s="63"/>
    </row>
    <row r="795" ht="15.75" customHeight="1">
      <c r="J795" s="63"/>
      <c r="K795" s="63"/>
    </row>
    <row r="796" ht="15.75" customHeight="1">
      <c r="J796" s="63"/>
      <c r="K796" s="63"/>
    </row>
    <row r="797" ht="15.75" customHeight="1">
      <c r="J797" s="63"/>
      <c r="K797" s="63"/>
    </row>
    <row r="798" ht="15.75" customHeight="1">
      <c r="J798" s="63"/>
      <c r="K798" s="63"/>
    </row>
    <row r="799" ht="15.75" customHeight="1">
      <c r="J799" s="63"/>
      <c r="K799" s="63"/>
    </row>
    <row r="800" ht="15.75" customHeight="1">
      <c r="J800" s="63"/>
      <c r="K800" s="63"/>
    </row>
    <row r="801" ht="15.75" customHeight="1">
      <c r="J801" s="63"/>
      <c r="K801" s="63"/>
    </row>
    <row r="802" ht="15.75" customHeight="1">
      <c r="J802" s="63"/>
      <c r="K802" s="63"/>
    </row>
    <row r="803" ht="15.75" customHeight="1">
      <c r="J803" s="63"/>
      <c r="K803" s="63"/>
    </row>
    <row r="804" ht="15.75" customHeight="1">
      <c r="J804" s="63"/>
      <c r="K804" s="63"/>
    </row>
    <row r="805" ht="15.75" customHeight="1">
      <c r="J805" s="63"/>
      <c r="K805" s="63"/>
    </row>
    <row r="806" ht="15.75" customHeight="1">
      <c r="J806" s="63"/>
      <c r="K806" s="63"/>
    </row>
    <row r="807" ht="15.75" customHeight="1">
      <c r="J807" s="63"/>
      <c r="K807" s="63"/>
    </row>
    <row r="808" ht="15.75" customHeight="1">
      <c r="J808" s="63"/>
      <c r="K808" s="63"/>
    </row>
    <row r="809" ht="15.75" customHeight="1">
      <c r="J809" s="63"/>
      <c r="K809" s="63"/>
    </row>
    <row r="810" ht="15.75" customHeight="1">
      <c r="J810" s="63"/>
      <c r="K810" s="63"/>
    </row>
    <row r="811" ht="15.75" customHeight="1">
      <c r="J811" s="63"/>
      <c r="K811" s="63"/>
    </row>
    <row r="812" ht="15.75" customHeight="1">
      <c r="J812" s="63"/>
      <c r="K812" s="63"/>
    </row>
    <row r="813" ht="15.75" customHeight="1">
      <c r="J813" s="63"/>
      <c r="K813" s="63"/>
    </row>
    <row r="814" ht="15.75" customHeight="1">
      <c r="J814" s="63"/>
      <c r="K814" s="63"/>
    </row>
    <row r="815" ht="15.75" customHeight="1">
      <c r="J815" s="63"/>
      <c r="K815" s="63"/>
    </row>
    <row r="816" ht="15.75" customHeight="1">
      <c r="J816" s="63"/>
      <c r="K816" s="63"/>
    </row>
    <row r="817" ht="15.75" customHeight="1">
      <c r="J817" s="63"/>
      <c r="K817" s="63"/>
    </row>
    <row r="818" ht="15.75" customHeight="1">
      <c r="J818" s="63"/>
      <c r="K818" s="63"/>
    </row>
    <row r="819" ht="15.75" customHeight="1">
      <c r="J819" s="63"/>
      <c r="K819" s="63"/>
    </row>
    <row r="820" ht="15.75" customHeight="1">
      <c r="J820" s="63"/>
      <c r="K820" s="63"/>
    </row>
    <row r="821" ht="15.75" customHeight="1">
      <c r="J821" s="63"/>
      <c r="K821" s="63"/>
    </row>
    <row r="822" ht="15.75" customHeight="1">
      <c r="J822" s="63"/>
      <c r="K822" s="63"/>
    </row>
    <row r="823" ht="15.75" customHeight="1">
      <c r="J823" s="63"/>
      <c r="K823" s="63"/>
    </row>
    <row r="824" ht="15.75" customHeight="1">
      <c r="J824" s="63"/>
      <c r="K824" s="63"/>
    </row>
    <row r="825" ht="15.75" customHeight="1">
      <c r="J825" s="63"/>
      <c r="K825" s="63"/>
    </row>
    <row r="826" ht="15.75" customHeight="1">
      <c r="J826" s="63"/>
      <c r="K826" s="63"/>
    </row>
    <row r="827" ht="15.75" customHeight="1">
      <c r="J827" s="63"/>
      <c r="K827" s="63"/>
    </row>
    <row r="828" ht="15.75" customHeight="1">
      <c r="J828" s="63"/>
      <c r="K828" s="63"/>
    </row>
    <row r="829" ht="15.75" customHeight="1">
      <c r="J829" s="63"/>
      <c r="K829" s="63"/>
    </row>
    <row r="830" ht="15.75" customHeight="1">
      <c r="J830" s="63"/>
      <c r="K830" s="63"/>
    </row>
    <row r="831" ht="15.75" customHeight="1">
      <c r="J831" s="63"/>
      <c r="K831" s="63"/>
    </row>
    <row r="832" ht="15.75" customHeight="1">
      <c r="J832" s="63"/>
      <c r="K832" s="63"/>
    </row>
    <row r="833" ht="15.75" customHeight="1">
      <c r="J833" s="63"/>
      <c r="K833" s="63"/>
    </row>
    <row r="834" ht="15.75" customHeight="1">
      <c r="J834" s="63"/>
      <c r="K834" s="63"/>
    </row>
    <row r="835" ht="15.75" customHeight="1">
      <c r="J835" s="63"/>
      <c r="K835" s="63"/>
    </row>
    <row r="836" ht="15.75" customHeight="1">
      <c r="J836" s="63"/>
      <c r="K836" s="63"/>
    </row>
    <row r="837" ht="15.75" customHeight="1">
      <c r="J837" s="63"/>
      <c r="K837" s="63"/>
    </row>
    <row r="838" ht="15.75" customHeight="1">
      <c r="J838" s="63"/>
      <c r="K838" s="63"/>
    </row>
    <row r="839" ht="15.75" customHeight="1">
      <c r="J839" s="63"/>
      <c r="K839" s="63"/>
    </row>
    <row r="840" ht="15.75" customHeight="1">
      <c r="J840" s="63"/>
      <c r="K840" s="63"/>
    </row>
    <row r="841" ht="15.75" customHeight="1">
      <c r="J841" s="63"/>
      <c r="K841" s="63"/>
    </row>
    <row r="842" ht="15.75" customHeight="1">
      <c r="J842" s="63"/>
      <c r="K842" s="63"/>
    </row>
    <row r="843" ht="15.75" customHeight="1">
      <c r="J843" s="63"/>
      <c r="K843" s="63"/>
    </row>
    <row r="844" ht="15.75" customHeight="1">
      <c r="J844" s="63"/>
      <c r="K844" s="63"/>
    </row>
    <row r="845" ht="15.75" customHeight="1">
      <c r="J845" s="63"/>
      <c r="K845" s="63"/>
    </row>
    <row r="846" ht="15.75" customHeight="1">
      <c r="J846" s="63"/>
      <c r="K846" s="63"/>
    </row>
    <row r="847" ht="15.75" customHeight="1">
      <c r="J847" s="63"/>
      <c r="K847" s="63"/>
    </row>
    <row r="848" ht="15.75" customHeight="1">
      <c r="J848" s="63"/>
      <c r="K848" s="63"/>
    </row>
    <row r="849" ht="15.75" customHeight="1">
      <c r="J849" s="63"/>
      <c r="K849" s="63"/>
    </row>
    <row r="850" ht="15.75" customHeight="1">
      <c r="J850" s="63"/>
      <c r="K850" s="63"/>
    </row>
    <row r="851" ht="15.75" customHeight="1">
      <c r="J851" s="63"/>
      <c r="K851" s="63"/>
    </row>
    <row r="852" ht="15.75" customHeight="1">
      <c r="J852" s="63"/>
      <c r="K852" s="63"/>
    </row>
    <row r="853" ht="15.75" customHeight="1">
      <c r="J853" s="63"/>
      <c r="K853" s="63"/>
    </row>
    <row r="854" ht="15.75" customHeight="1">
      <c r="J854" s="63"/>
      <c r="K854" s="63"/>
    </row>
    <row r="855" ht="15.75" customHeight="1">
      <c r="J855" s="63"/>
      <c r="K855" s="63"/>
    </row>
    <row r="856" ht="15.75" customHeight="1">
      <c r="J856" s="63"/>
      <c r="K856" s="63"/>
    </row>
    <row r="857" ht="15.75" customHeight="1">
      <c r="J857" s="63"/>
      <c r="K857" s="63"/>
    </row>
    <row r="858" ht="15.75" customHeight="1">
      <c r="J858" s="63"/>
      <c r="K858" s="63"/>
    </row>
    <row r="859" ht="15.75" customHeight="1">
      <c r="J859" s="63"/>
      <c r="K859" s="63"/>
    </row>
    <row r="860" ht="15.75" customHeight="1">
      <c r="J860" s="63"/>
      <c r="K860" s="63"/>
    </row>
    <row r="861" ht="15.75" customHeight="1">
      <c r="J861" s="63"/>
      <c r="K861" s="63"/>
    </row>
    <row r="862" ht="15.75" customHeight="1">
      <c r="J862" s="63"/>
      <c r="K862" s="63"/>
    </row>
    <row r="863" ht="15.75" customHeight="1">
      <c r="J863" s="63"/>
      <c r="K863" s="63"/>
    </row>
    <row r="864" ht="15.75" customHeight="1">
      <c r="J864" s="63"/>
      <c r="K864" s="63"/>
    </row>
    <row r="865" ht="15.75" customHeight="1">
      <c r="J865" s="63"/>
      <c r="K865" s="63"/>
    </row>
    <row r="866" ht="15.75" customHeight="1">
      <c r="J866" s="63"/>
      <c r="K866" s="63"/>
    </row>
    <row r="867" ht="15.75" customHeight="1">
      <c r="J867" s="63"/>
      <c r="K867" s="63"/>
    </row>
    <row r="868" ht="15.75" customHeight="1">
      <c r="J868" s="63"/>
      <c r="K868" s="63"/>
    </row>
    <row r="869" ht="15.75" customHeight="1">
      <c r="J869" s="63"/>
      <c r="K869" s="63"/>
    </row>
    <row r="870" ht="15.75" customHeight="1">
      <c r="J870" s="63"/>
      <c r="K870" s="63"/>
    </row>
    <row r="871" ht="15.75" customHeight="1">
      <c r="J871" s="63"/>
      <c r="K871" s="63"/>
    </row>
    <row r="872" ht="15.75" customHeight="1">
      <c r="J872" s="63"/>
      <c r="K872" s="63"/>
    </row>
    <row r="873" ht="15.75" customHeight="1">
      <c r="J873" s="63"/>
      <c r="K873" s="63"/>
    </row>
    <row r="874" ht="15.75" customHeight="1">
      <c r="J874" s="63"/>
      <c r="K874" s="63"/>
    </row>
    <row r="875" ht="15.75" customHeight="1">
      <c r="J875" s="63"/>
      <c r="K875" s="63"/>
    </row>
    <row r="876" ht="15.75" customHeight="1">
      <c r="J876" s="63"/>
      <c r="K876" s="63"/>
    </row>
    <row r="877" ht="15.75" customHeight="1">
      <c r="J877" s="63"/>
      <c r="K877" s="63"/>
    </row>
    <row r="878" ht="15.75" customHeight="1">
      <c r="J878" s="63"/>
      <c r="K878" s="63"/>
    </row>
    <row r="879" ht="15.75" customHeight="1">
      <c r="J879" s="63"/>
      <c r="K879" s="63"/>
    </row>
    <row r="880" ht="15.75" customHeight="1">
      <c r="J880" s="63"/>
      <c r="K880" s="63"/>
    </row>
    <row r="881" ht="15.75" customHeight="1">
      <c r="J881" s="63"/>
      <c r="K881" s="63"/>
    </row>
    <row r="882" ht="15.75" customHeight="1">
      <c r="J882" s="63"/>
      <c r="K882" s="63"/>
    </row>
    <row r="883" ht="15.75" customHeight="1">
      <c r="J883" s="63"/>
      <c r="K883" s="63"/>
    </row>
    <row r="884" ht="15.75" customHeight="1">
      <c r="J884" s="63"/>
      <c r="K884" s="63"/>
    </row>
    <row r="885" ht="15.75" customHeight="1">
      <c r="J885" s="63"/>
      <c r="K885" s="63"/>
    </row>
    <row r="886" ht="15.75" customHeight="1">
      <c r="J886" s="63"/>
      <c r="K886" s="63"/>
    </row>
    <row r="887" ht="15.75" customHeight="1">
      <c r="J887" s="63"/>
      <c r="K887" s="63"/>
    </row>
    <row r="888" ht="15.75" customHeight="1">
      <c r="J888" s="63"/>
      <c r="K888" s="63"/>
    </row>
    <row r="889" ht="15.75" customHeight="1">
      <c r="J889" s="63"/>
      <c r="K889" s="63"/>
    </row>
    <row r="890" ht="15.75" customHeight="1">
      <c r="J890" s="63"/>
      <c r="K890" s="63"/>
    </row>
    <row r="891" ht="15.75" customHeight="1">
      <c r="J891" s="63"/>
      <c r="K891" s="63"/>
    </row>
    <row r="892" ht="15.75" customHeight="1">
      <c r="J892" s="63"/>
      <c r="K892" s="63"/>
    </row>
    <row r="893" ht="15.75" customHeight="1">
      <c r="J893" s="63"/>
      <c r="K893" s="63"/>
    </row>
    <row r="894" ht="15.75" customHeight="1">
      <c r="J894" s="63"/>
      <c r="K894" s="63"/>
    </row>
    <row r="895" ht="15.75" customHeight="1">
      <c r="J895" s="63"/>
      <c r="K895" s="63"/>
    </row>
    <row r="896" ht="15.75" customHeight="1">
      <c r="J896" s="63"/>
      <c r="K896" s="63"/>
    </row>
    <row r="897" ht="15.75" customHeight="1">
      <c r="J897" s="63"/>
      <c r="K897" s="63"/>
    </row>
    <row r="898" ht="15.75" customHeight="1">
      <c r="J898" s="63"/>
      <c r="K898" s="63"/>
    </row>
    <row r="899" ht="15.75" customHeight="1">
      <c r="J899" s="63"/>
      <c r="K899" s="63"/>
    </row>
    <row r="900" ht="15.75" customHeight="1">
      <c r="J900" s="63"/>
      <c r="K900" s="63"/>
    </row>
    <row r="901" ht="15.75" customHeight="1">
      <c r="J901" s="63"/>
      <c r="K901" s="63"/>
    </row>
    <row r="902" ht="15.75" customHeight="1">
      <c r="J902" s="63"/>
      <c r="K902" s="63"/>
    </row>
    <row r="903" ht="15.75" customHeight="1">
      <c r="J903" s="63"/>
      <c r="K903" s="63"/>
    </row>
    <row r="904" ht="15.75" customHeight="1">
      <c r="J904" s="63"/>
      <c r="K904" s="63"/>
    </row>
    <row r="905" ht="15.75" customHeight="1">
      <c r="J905" s="63"/>
      <c r="K905" s="63"/>
    </row>
    <row r="906" ht="15.75" customHeight="1">
      <c r="J906" s="63"/>
      <c r="K906" s="63"/>
    </row>
    <row r="907" ht="15.75" customHeight="1">
      <c r="J907" s="63"/>
      <c r="K907" s="63"/>
    </row>
    <row r="908" ht="15.75" customHeight="1">
      <c r="J908" s="63"/>
      <c r="K908" s="63"/>
    </row>
    <row r="909" ht="15.75" customHeight="1">
      <c r="J909" s="63"/>
      <c r="K909" s="63"/>
    </row>
    <row r="910" ht="15.75" customHeight="1">
      <c r="J910" s="63"/>
      <c r="K910" s="63"/>
    </row>
    <row r="911" ht="15.75" customHeight="1">
      <c r="J911" s="63"/>
      <c r="K911" s="63"/>
    </row>
    <row r="912" ht="15.75" customHeight="1">
      <c r="J912" s="63"/>
      <c r="K912" s="63"/>
    </row>
    <row r="913" ht="15.75" customHeight="1">
      <c r="J913" s="63"/>
      <c r="K913" s="63"/>
    </row>
    <row r="914" ht="15.75" customHeight="1">
      <c r="J914" s="63"/>
      <c r="K914" s="63"/>
    </row>
    <row r="915" ht="15.75" customHeight="1">
      <c r="J915" s="63"/>
      <c r="K915" s="63"/>
    </row>
    <row r="916" ht="15.75" customHeight="1">
      <c r="J916" s="63"/>
      <c r="K916" s="63"/>
    </row>
    <row r="917" ht="15.75" customHeight="1">
      <c r="J917" s="63"/>
      <c r="K917" s="63"/>
    </row>
    <row r="918" ht="15.75" customHeight="1">
      <c r="J918" s="63"/>
      <c r="K918" s="63"/>
    </row>
    <row r="919" ht="15.75" customHeight="1">
      <c r="J919" s="63"/>
      <c r="K919" s="63"/>
    </row>
    <row r="920" ht="15.75" customHeight="1">
      <c r="J920" s="63"/>
      <c r="K920" s="63"/>
    </row>
    <row r="921" ht="15.75" customHeight="1">
      <c r="J921" s="63"/>
      <c r="K921" s="63"/>
    </row>
    <row r="922" ht="15.75" customHeight="1">
      <c r="J922" s="63"/>
      <c r="K922" s="63"/>
    </row>
    <row r="923" ht="15.75" customHeight="1">
      <c r="J923" s="63"/>
      <c r="K923" s="63"/>
    </row>
    <row r="924" ht="15.75" customHeight="1">
      <c r="J924" s="63"/>
      <c r="K924" s="63"/>
    </row>
    <row r="925" ht="15.75" customHeight="1">
      <c r="J925" s="63"/>
      <c r="K925" s="63"/>
    </row>
    <row r="926" ht="15.75" customHeight="1">
      <c r="J926" s="63"/>
      <c r="K926" s="63"/>
    </row>
    <row r="927" ht="15.75" customHeight="1">
      <c r="J927" s="63"/>
      <c r="K927" s="63"/>
    </row>
    <row r="928" ht="15.75" customHeight="1">
      <c r="J928" s="63"/>
      <c r="K928" s="63"/>
    </row>
    <row r="929" ht="15.75" customHeight="1">
      <c r="J929" s="63"/>
      <c r="K929" s="63"/>
    </row>
    <row r="930" ht="15.75" customHeight="1">
      <c r="J930" s="63"/>
      <c r="K930" s="63"/>
    </row>
    <row r="931" ht="15.75" customHeight="1">
      <c r="J931" s="63"/>
      <c r="K931" s="63"/>
    </row>
    <row r="932" ht="15.75" customHeight="1">
      <c r="J932" s="63"/>
      <c r="K932" s="63"/>
    </row>
    <row r="933" ht="15.75" customHeight="1">
      <c r="J933" s="63"/>
      <c r="K933" s="63"/>
    </row>
    <row r="934" ht="15.75" customHeight="1">
      <c r="J934" s="63"/>
      <c r="K934" s="63"/>
    </row>
    <row r="935" ht="15.75" customHeight="1">
      <c r="J935" s="63"/>
      <c r="K935" s="63"/>
    </row>
    <row r="936" ht="15.75" customHeight="1">
      <c r="J936" s="63"/>
      <c r="K936" s="63"/>
    </row>
    <row r="937" ht="15.75" customHeight="1">
      <c r="J937" s="63"/>
      <c r="K937" s="63"/>
    </row>
    <row r="938" ht="15.75" customHeight="1">
      <c r="J938" s="63"/>
      <c r="K938" s="63"/>
    </row>
    <row r="939" ht="15.75" customHeight="1">
      <c r="J939" s="63"/>
      <c r="K939" s="63"/>
    </row>
    <row r="940" ht="15.75" customHeight="1">
      <c r="J940" s="63"/>
      <c r="K940" s="63"/>
    </row>
    <row r="941" ht="15.75" customHeight="1">
      <c r="J941" s="63"/>
      <c r="K941" s="63"/>
    </row>
    <row r="942" ht="15.75" customHeight="1">
      <c r="J942" s="63"/>
      <c r="K942" s="63"/>
    </row>
    <row r="943" ht="15.75" customHeight="1">
      <c r="J943" s="63"/>
      <c r="K943" s="63"/>
    </row>
    <row r="944" ht="15.75" customHeight="1">
      <c r="J944" s="63"/>
      <c r="K944" s="63"/>
    </row>
    <row r="945" ht="15.75" customHeight="1">
      <c r="J945" s="63"/>
      <c r="K945" s="63"/>
    </row>
    <row r="946" ht="15.75" customHeight="1">
      <c r="J946" s="63"/>
      <c r="K946" s="63"/>
    </row>
    <row r="947" ht="15.75" customHeight="1">
      <c r="J947" s="63"/>
      <c r="K947" s="63"/>
    </row>
    <row r="948" ht="15.75" customHeight="1">
      <c r="J948" s="63"/>
      <c r="K948" s="63"/>
    </row>
    <row r="949" ht="15.75" customHeight="1">
      <c r="J949" s="63"/>
      <c r="K949" s="63"/>
    </row>
    <row r="950" ht="15.75" customHeight="1">
      <c r="J950" s="63"/>
      <c r="K950" s="63"/>
    </row>
    <row r="951" ht="15.75" customHeight="1">
      <c r="J951" s="63"/>
      <c r="K951" s="63"/>
    </row>
    <row r="952" ht="15.75" customHeight="1">
      <c r="J952" s="63"/>
      <c r="K952" s="63"/>
    </row>
    <row r="953" ht="15.75" customHeight="1">
      <c r="J953" s="63"/>
      <c r="K953" s="63"/>
    </row>
    <row r="954" ht="15.75" customHeight="1">
      <c r="J954" s="63"/>
      <c r="K954" s="63"/>
    </row>
    <row r="955" ht="15.75" customHeight="1">
      <c r="J955" s="63"/>
      <c r="K955" s="63"/>
    </row>
    <row r="956" ht="15.75" customHeight="1">
      <c r="J956" s="63"/>
      <c r="K956" s="63"/>
    </row>
    <row r="957" ht="15.75" customHeight="1">
      <c r="J957" s="63"/>
      <c r="K957" s="63"/>
    </row>
    <row r="958" ht="15.75" customHeight="1">
      <c r="J958" s="63"/>
      <c r="K958" s="63"/>
    </row>
    <row r="959" ht="15.75" customHeight="1">
      <c r="J959" s="63"/>
      <c r="K959" s="63"/>
    </row>
    <row r="960" ht="15.75" customHeight="1">
      <c r="J960" s="63"/>
      <c r="K960" s="63"/>
    </row>
    <row r="961" ht="15.75" customHeight="1">
      <c r="J961" s="63"/>
      <c r="K961" s="63"/>
    </row>
    <row r="962" ht="15.75" customHeight="1">
      <c r="J962" s="63"/>
      <c r="K962" s="63"/>
    </row>
    <row r="963" ht="15.75" customHeight="1">
      <c r="J963" s="63"/>
      <c r="K963" s="63"/>
    </row>
    <row r="964" ht="15.75" customHeight="1">
      <c r="J964" s="63"/>
      <c r="K964" s="63"/>
    </row>
    <row r="965" ht="15.75" customHeight="1">
      <c r="J965" s="63"/>
      <c r="K965" s="63"/>
    </row>
    <row r="966" ht="15.75" customHeight="1">
      <c r="J966" s="63"/>
      <c r="K966" s="63"/>
    </row>
    <row r="967" ht="15.75" customHeight="1">
      <c r="J967" s="63"/>
      <c r="K967" s="63"/>
    </row>
    <row r="968" ht="15.75" customHeight="1">
      <c r="J968" s="63"/>
      <c r="K968" s="63"/>
    </row>
    <row r="969" ht="15.75" customHeight="1">
      <c r="J969" s="63"/>
      <c r="K969" s="63"/>
    </row>
    <row r="970" ht="15.75" customHeight="1">
      <c r="J970" s="63"/>
      <c r="K970" s="63"/>
    </row>
    <row r="971" ht="15.75" customHeight="1">
      <c r="J971" s="63"/>
      <c r="K971" s="63"/>
    </row>
    <row r="972" ht="15.75" customHeight="1">
      <c r="J972" s="63"/>
      <c r="K972" s="63"/>
    </row>
    <row r="973" ht="15.75" customHeight="1">
      <c r="J973" s="63"/>
      <c r="K973" s="63"/>
    </row>
    <row r="974" ht="15.75" customHeight="1">
      <c r="J974" s="63"/>
      <c r="K974" s="63"/>
    </row>
    <row r="975" ht="15.75" customHeight="1">
      <c r="J975" s="63"/>
      <c r="K975" s="63"/>
    </row>
    <row r="976" ht="15.75" customHeight="1">
      <c r="J976" s="63"/>
      <c r="K976" s="63"/>
    </row>
    <row r="977" ht="15.75" customHeight="1">
      <c r="J977" s="63"/>
      <c r="K977" s="63"/>
    </row>
    <row r="978" ht="15.75" customHeight="1">
      <c r="J978" s="63"/>
      <c r="K978" s="63"/>
    </row>
    <row r="979" ht="15.75" customHeight="1">
      <c r="J979" s="63"/>
      <c r="K979" s="63"/>
    </row>
    <row r="980" ht="15.75" customHeight="1">
      <c r="J980" s="63"/>
      <c r="K980" s="63"/>
    </row>
    <row r="981" ht="15.75" customHeight="1">
      <c r="J981" s="63"/>
      <c r="K981" s="63"/>
    </row>
    <row r="982" ht="15.75" customHeight="1">
      <c r="J982" s="63"/>
      <c r="K982" s="63"/>
    </row>
    <row r="983" ht="15.75" customHeight="1">
      <c r="J983" s="63"/>
      <c r="K983" s="63"/>
    </row>
    <row r="984" ht="15.75" customHeight="1">
      <c r="J984" s="63"/>
      <c r="K984" s="63"/>
    </row>
    <row r="985" ht="15.75" customHeight="1">
      <c r="J985" s="63"/>
      <c r="K985" s="63"/>
    </row>
    <row r="986" ht="15.75" customHeight="1">
      <c r="J986" s="63"/>
      <c r="K986" s="63"/>
    </row>
    <row r="987" ht="15.75" customHeight="1">
      <c r="J987" s="63"/>
      <c r="K987" s="63"/>
    </row>
    <row r="988" ht="15.75" customHeight="1">
      <c r="J988" s="63"/>
      <c r="K988" s="63"/>
    </row>
    <row r="989" ht="15.75" customHeight="1">
      <c r="J989" s="63"/>
      <c r="K989" s="63"/>
    </row>
    <row r="990" ht="15.75" customHeight="1">
      <c r="J990" s="63"/>
      <c r="K990" s="63"/>
    </row>
    <row r="991" ht="15.75" customHeight="1">
      <c r="J991" s="63"/>
      <c r="K991" s="63"/>
    </row>
    <row r="992" ht="15.75" customHeight="1">
      <c r="J992" s="63"/>
      <c r="K992" s="63"/>
    </row>
    <row r="993" ht="15.75" customHeight="1">
      <c r="J993" s="63"/>
      <c r="K993" s="63"/>
    </row>
    <row r="994" ht="15.75" customHeight="1">
      <c r="J994" s="63"/>
      <c r="K994" s="63"/>
    </row>
    <row r="995" ht="15.75" customHeight="1">
      <c r="J995" s="63"/>
      <c r="K995" s="63"/>
    </row>
    <row r="996" ht="15.75" customHeight="1">
      <c r="J996" s="63"/>
      <c r="K996" s="63"/>
    </row>
    <row r="997" ht="15.75" customHeight="1">
      <c r="J997" s="63"/>
      <c r="K997" s="63"/>
    </row>
    <row r="998" ht="15.75" customHeight="1">
      <c r="J998" s="63"/>
      <c r="K998" s="63"/>
    </row>
    <row r="999" ht="15.75" customHeight="1">
      <c r="J999" s="63"/>
      <c r="K999" s="63"/>
    </row>
    <row r="1000" ht="15.75" customHeight="1">
      <c r="J1000" s="63"/>
      <c r="K1000" s="63"/>
    </row>
  </sheetData>
  <autoFilter ref="$A$4:$P$59"/>
  <conditionalFormatting sqref="F5:F1000">
    <cfRule type="expression" dxfId="0" priority="1">
      <formula>OR(F5="Zusage",F5="Terminiert",F5="Durchgeführt")</formula>
    </cfRule>
  </conditionalFormatting>
  <conditionalFormatting sqref="F5:F1000">
    <cfRule type="cellIs" dxfId="1" priority="2" operator="equal">
      <formula>"Absage"</formula>
    </cfRule>
  </conditionalFormatting>
  <dataValidations>
    <dataValidation type="list" allowBlank="1" sqref="H5:I154">
      <formula1>"Andreas Braxmeier,Nadine Beha,Sophie Scheffler,Ragavi Anusujanthan,Nina Ludwig"</formula1>
    </dataValidation>
    <dataValidation type="list" allowBlank="1" sqref="M5:M154">
      <formula1>"Zoom,Präsenz,Telefon,Teams,Sonstiges"</formula1>
    </dataValidation>
    <dataValidation type="list" allowBlank="1" sqref="F5:F154">
      <formula1>"Kontaktiert,Nachfragen,Zusage,Terminiert,Durchgeführt,Abgeschlossen,Absage,Ausgeschlossen"</formula1>
    </dataValidation>
    <dataValidation type="list" allowBlank="1" sqref="O5:O154">
      <formula1>"Bedarfsanalyse,Versorgungslage,Kooperationen,Prävention,Zugangsbarrieren,Best Practices,Zukunftswünsche,Sonstiges"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3" width="20.0"/>
    <col customWidth="1" min="4" max="4" width="35.0"/>
    <col customWidth="1" min="5" max="7" width="20.0"/>
    <col customWidth="1" min="8" max="9" width="25.0"/>
    <col customWidth="1" min="10" max="13" width="20.0"/>
    <col customWidth="1" min="14" max="14" width="30.0"/>
    <col customWidth="1" min="15" max="15" width="40.0"/>
    <col customWidth="1" min="16" max="16" width="20.0"/>
    <col customWidth="1" min="17" max="26" width="8.71"/>
  </cols>
  <sheetData>
    <row r="1">
      <c r="A1" s="2" t="s">
        <v>741</v>
      </c>
      <c r="B1" s="62" t="s">
        <v>742</v>
      </c>
    </row>
    <row r="4">
      <c r="A4" s="64" t="s">
        <v>7</v>
      </c>
      <c r="B4" s="64" t="s">
        <v>73</v>
      </c>
      <c r="C4" s="64" t="s">
        <v>9</v>
      </c>
      <c r="D4" s="64" t="s">
        <v>76</v>
      </c>
      <c r="E4" s="64" t="s">
        <v>613</v>
      </c>
      <c r="F4" s="64" t="s">
        <v>5</v>
      </c>
      <c r="G4" s="64" t="s">
        <v>75</v>
      </c>
      <c r="H4" s="64" t="s">
        <v>614</v>
      </c>
      <c r="I4" s="64" t="s">
        <v>615</v>
      </c>
      <c r="J4" s="64" t="s">
        <v>616</v>
      </c>
      <c r="K4" s="64" t="s">
        <v>617</v>
      </c>
      <c r="L4" s="64" t="s">
        <v>618</v>
      </c>
      <c r="M4" s="64" t="s">
        <v>619</v>
      </c>
      <c r="N4" s="64" t="s">
        <v>620</v>
      </c>
      <c r="O4" s="64" t="s">
        <v>621</v>
      </c>
      <c r="P4" s="64" t="s">
        <v>622</v>
      </c>
    </row>
    <row r="5">
      <c r="A5" s="4" t="s">
        <v>623</v>
      </c>
      <c r="B5" s="4" t="s">
        <v>624</v>
      </c>
      <c r="C5" s="4" t="s">
        <v>13</v>
      </c>
      <c r="D5" s="4" t="s">
        <v>625</v>
      </c>
      <c r="E5" s="4" t="s">
        <v>626</v>
      </c>
      <c r="F5" s="4"/>
      <c r="G5" s="4"/>
      <c r="H5" s="4"/>
      <c r="I5" s="4"/>
      <c r="J5" s="66"/>
      <c r="K5" s="67"/>
      <c r="L5" s="68"/>
      <c r="M5" s="4"/>
      <c r="N5" s="4"/>
      <c r="O5" s="4"/>
      <c r="P5" s="4"/>
    </row>
    <row r="6">
      <c r="A6" s="4" t="s">
        <v>95</v>
      </c>
      <c r="B6" s="4" t="s">
        <v>22</v>
      </c>
      <c r="C6" s="4" t="s">
        <v>21</v>
      </c>
      <c r="D6" s="4" t="s">
        <v>627</v>
      </c>
      <c r="E6" s="4" t="s">
        <v>626</v>
      </c>
      <c r="F6" s="4"/>
      <c r="G6" s="4"/>
      <c r="H6" s="4"/>
      <c r="I6" s="4"/>
      <c r="J6" s="66"/>
      <c r="K6" s="67"/>
      <c r="L6" s="68"/>
      <c r="M6" s="4"/>
      <c r="N6" s="4"/>
      <c r="O6" s="4"/>
      <c r="P6" s="4"/>
    </row>
    <row r="7">
      <c r="A7" s="4" t="s">
        <v>628</v>
      </c>
      <c r="B7" s="4" t="s">
        <v>30</v>
      </c>
      <c r="C7" s="4" t="s">
        <v>13</v>
      </c>
      <c r="D7" s="4" t="s">
        <v>629</v>
      </c>
      <c r="E7" s="4" t="s">
        <v>626</v>
      </c>
      <c r="F7" s="4"/>
      <c r="G7" s="4"/>
      <c r="H7" s="4"/>
      <c r="I7" s="4"/>
      <c r="J7" s="66"/>
      <c r="K7" s="67"/>
      <c r="L7" s="68"/>
      <c r="M7" s="4"/>
      <c r="N7" s="4"/>
      <c r="O7" s="4"/>
      <c r="P7" s="4"/>
    </row>
    <row r="8">
      <c r="A8" s="4" t="s">
        <v>630</v>
      </c>
      <c r="B8" s="4" t="s">
        <v>18</v>
      </c>
      <c r="C8" s="4" t="s">
        <v>17</v>
      </c>
      <c r="D8" s="4" t="s">
        <v>248</v>
      </c>
      <c r="E8" s="4" t="s">
        <v>626</v>
      </c>
      <c r="F8" s="4"/>
      <c r="G8" s="4"/>
      <c r="H8" s="4"/>
      <c r="I8" s="4"/>
      <c r="J8" s="66"/>
      <c r="K8" s="67"/>
      <c r="L8" s="68"/>
      <c r="M8" s="4"/>
      <c r="N8" s="4"/>
      <c r="O8" s="4"/>
      <c r="P8" s="4"/>
    </row>
    <row r="9">
      <c r="A9" s="4" t="s">
        <v>168</v>
      </c>
      <c r="B9" s="4" t="s">
        <v>33</v>
      </c>
      <c r="C9" s="4" t="s">
        <v>17</v>
      </c>
      <c r="D9" s="4" t="s">
        <v>631</v>
      </c>
      <c r="E9" s="4" t="s">
        <v>626</v>
      </c>
      <c r="F9" s="4"/>
      <c r="G9" s="4"/>
      <c r="H9" s="4"/>
      <c r="I9" s="4"/>
      <c r="J9" s="66"/>
      <c r="K9" s="67"/>
      <c r="L9" s="68"/>
      <c r="M9" s="4"/>
      <c r="N9" s="4"/>
      <c r="O9" s="4"/>
      <c r="P9" s="4"/>
    </row>
    <row r="10">
      <c r="A10" s="4" t="s">
        <v>632</v>
      </c>
      <c r="B10" s="4" t="s">
        <v>22</v>
      </c>
      <c r="C10" s="4" t="s">
        <v>13</v>
      </c>
      <c r="D10" s="4" t="s">
        <v>108</v>
      </c>
      <c r="E10" s="4" t="s">
        <v>626</v>
      </c>
      <c r="F10" s="4"/>
      <c r="G10" s="4"/>
      <c r="H10" s="4"/>
      <c r="I10" s="4"/>
      <c r="J10" s="66"/>
      <c r="K10" s="67"/>
      <c r="L10" s="68"/>
      <c r="M10" s="4"/>
      <c r="N10" s="4"/>
      <c r="O10" s="4"/>
      <c r="P10" s="4"/>
    </row>
    <row r="11">
      <c r="A11" s="4" t="s">
        <v>633</v>
      </c>
      <c r="B11" s="4" t="s">
        <v>22</v>
      </c>
      <c r="C11" s="4" t="s">
        <v>13</v>
      </c>
      <c r="D11" s="4" t="s">
        <v>103</v>
      </c>
      <c r="E11" s="4" t="s">
        <v>626</v>
      </c>
      <c r="F11" s="4"/>
      <c r="G11" s="4"/>
      <c r="H11" s="4"/>
      <c r="I11" s="4"/>
      <c r="J11" s="66"/>
      <c r="K11" s="67"/>
      <c r="L11" s="68"/>
      <c r="M11" s="4"/>
      <c r="N11" s="4"/>
      <c r="O11" s="4"/>
      <c r="P11" s="4"/>
    </row>
    <row r="12">
      <c r="A12" s="4" t="s">
        <v>634</v>
      </c>
      <c r="B12" s="4" t="s">
        <v>30</v>
      </c>
      <c r="C12" s="4" t="s">
        <v>13</v>
      </c>
      <c r="D12" s="4" t="s">
        <v>332</v>
      </c>
      <c r="E12" s="4" t="s">
        <v>626</v>
      </c>
      <c r="F12" s="4"/>
      <c r="G12" s="4"/>
      <c r="H12" s="4"/>
      <c r="I12" s="4"/>
      <c r="J12" s="66"/>
      <c r="K12" s="67"/>
      <c r="L12" s="68"/>
      <c r="M12" s="4"/>
      <c r="N12" s="4"/>
      <c r="O12" s="4"/>
      <c r="P12" s="4"/>
    </row>
    <row r="13">
      <c r="A13" s="4" t="s">
        <v>635</v>
      </c>
      <c r="B13" s="4" t="s">
        <v>26</v>
      </c>
      <c r="C13" s="4" t="s">
        <v>13</v>
      </c>
      <c r="D13" s="4" t="s">
        <v>636</v>
      </c>
      <c r="E13" s="4" t="s">
        <v>626</v>
      </c>
      <c r="F13" s="4"/>
      <c r="G13" s="4"/>
      <c r="H13" s="4"/>
      <c r="I13" s="4"/>
      <c r="J13" s="66"/>
      <c r="K13" s="67"/>
      <c r="L13" s="68"/>
      <c r="M13" s="4"/>
      <c r="N13" s="4"/>
      <c r="O13" s="4"/>
      <c r="P13" s="4"/>
    </row>
    <row r="14">
      <c r="A14" s="4" t="s">
        <v>637</v>
      </c>
      <c r="B14" s="4" t="s">
        <v>33</v>
      </c>
      <c r="C14" s="4" t="s">
        <v>13</v>
      </c>
      <c r="D14" s="4" t="s">
        <v>638</v>
      </c>
      <c r="E14" s="4" t="s">
        <v>626</v>
      </c>
      <c r="F14" s="4"/>
      <c r="G14" s="4"/>
      <c r="H14" s="4"/>
      <c r="I14" s="4"/>
      <c r="J14" s="66"/>
      <c r="K14" s="67"/>
      <c r="L14" s="68"/>
      <c r="M14" s="4"/>
      <c r="N14" s="4"/>
      <c r="O14" s="4"/>
      <c r="P14" s="4"/>
    </row>
    <row r="15">
      <c r="A15" s="4" t="s">
        <v>639</v>
      </c>
      <c r="B15" s="4" t="s">
        <v>163</v>
      </c>
      <c r="C15" s="4" t="s">
        <v>13</v>
      </c>
      <c r="D15" s="4" t="s">
        <v>640</v>
      </c>
      <c r="E15" s="4" t="s">
        <v>626</v>
      </c>
      <c r="F15" s="4"/>
      <c r="G15" s="4"/>
      <c r="H15" s="4"/>
      <c r="I15" s="4"/>
      <c r="J15" s="66"/>
      <c r="K15" s="67"/>
      <c r="L15" s="68"/>
      <c r="M15" s="4"/>
      <c r="N15" s="4"/>
      <c r="O15" s="4"/>
      <c r="P15" s="4"/>
    </row>
    <row r="16">
      <c r="A16" s="4" t="s">
        <v>641</v>
      </c>
      <c r="B16" s="4" t="s">
        <v>30</v>
      </c>
      <c r="C16" s="4" t="s">
        <v>13</v>
      </c>
      <c r="D16" s="4" t="s">
        <v>642</v>
      </c>
      <c r="E16" s="4" t="s">
        <v>626</v>
      </c>
      <c r="F16" s="4"/>
      <c r="G16" s="4"/>
      <c r="H16" s="4"/>
      <c r="I16" s="4"/>
      <c r="J16" s="66"/>
      <c r="K16" s="67"/>
      <c r="L16" s="68"/>
      <c r="M16" s="4"/>
      <c r="N16" s="4"/>
      <c r="O16" s="4"/>
      <c r="P16" s="4"/>
    </row>
    <row r="17">
      <c r="A17" s="4" t="s">
        <v>645</v>
      </c>
      <c r="B17" s="4" t="s">
        <v>18</v>
      </c>
      <c r="C17" s="4" t="s">
        <v>25</v>
      </c>
      <c r="D17" s="4" t="s">
        <v>646</v>
      </c>
      <c r="E17" s="4" t="s">
        <v>626</v>
      </c>
      <c r="F17" s="4"/>
      <c r="G17" s="4"/>
      <c r="H17" s="4"/>
      <c r="I17" s="4"/>
      <c r="J17" s="66"/>
      <c r="K17" s="67"/>
      <c r="L17" s="68"/>
      <c r="M17" s="4"/>
      <c r="N17" s="4"/>
      <c r="O17" s="4"/>
      <c r="P17" s="4"/>
    </row>
    <row r="18">
      <c r="F18" s="62"/>
      <c r="H18" s="62"/>
      <c r="I18" s="62"/>
      <c r="M18" s="62"/>
      <c r="O18" s="62"/>
    </row>
    <row r="19">
      <c r="F19" s="62"/>
      <c r="H19" s="62"/>
      <c r="I19" s="62"/>
      <c r="M19" s="62"/>
      <c r="O19" s="62"/>
    </row>
    <row r="20">
      <c r="F20" s="62"/>
      <c r="H20" s="62"/>
      <c r="I20" s="62"/>
      <c r="M20" s="62"/>
      <c r="O20" s="62"/>
    </row>
    <row r="21" ht="15.75" customHeight="1">
      <c r="F21" s="62"/>
      <c r="H21" s="62"/>
      <c r="I21" s="62"/>
      <c r="M21" s="62"/>
      <c r="O21" s="62"/>
    </row>
    <row r="22" ht="15.75" customHeight="1">
      <c r="F22" s="62"/>
      <c r="H22" s="62"/>
      <c r="I22" s="62"/>
      <c r="M22" s="62"/>
      <c r="O22" s="62"/>
    </row>
    <row r="23" ht="15.75" customHeight="1">
      <c r="F23" s="62"/>
      <c r="H23" s="62"/>
      <c r="I23" s="62"/>
      <c r="M23" s="62"/>
      <c r="O23" s="62"/>
    </row>
    <row r="24" ht="15.75" customHeight="1">
      <c r="F24" s="62"/>
      <c r="H24" s="62"/>
      <c r="I24" s="62"/>
      <c r="M24" s="62"/>
      <c r="O24" s="62"/>
    </row>
    <row r="25" ht="15.75" customHeight="1">
      <c r="F25" s="62"/>
      <c r="H25" s="62"/>
      <c r="I25" s="62"/>
      <c r="M25" s="62"/>
      <c r="O25" s="62"/>
    </row>
    <row r="26" ht="15.75" customHeight="1">
      <c r="F26" s="62"/>
      <c r="H26" s="62"/>
      <c r="I26" s="62"/>
      <c r="M26" s="62"/>
      <c r="O26" s="62"/>
    </row>
    <row r="27" ht="15.75" customHeight="1">
      <c r="F27" s="62"/>
      <c r="H27" s="62"/>
      <c r="I27" s="62"/>
      <c r="M27" s="62"/>
      <c r="O27" s="62"/>
    </row>
    <row r="28" ht="15.75" customHeight="1">
      <c r="F28" s="62"/>
      <c r="H28" s="62"/>
      <c r="I28" s="62"/>
      <c r="M28" s="62"/>
      <c r="O28" s="62"/>
    </row>
    <row r="29" ht="15.75" customHeight="1">
      <c r="F29" s="62"/>
      <c r="H29" s="62"/>
      <c r="I29" s="62"/>
      <c r="M29" s="62"/>
      <c r="O29" s="62"/>
    </row>
    <row r="30" ht="15.75" customHeight="1">
      <c r="F30" s="62"/>
      <c r="H30" s="62"/>
      <c r="I30" s="62"/>
      <c r="M30" s="62"/>
      <c r="O30" s="62"/>
    </row>
    <row r="31" ht="15.75" customHeight="1">
      <c r="F31" s="62"/>
      <c r="H31" s="62"/>
      <c r="I31" s="62"/>
      <c r="M31" s="62"/>
      <c r="O31" s="62"/>
    </row>
    <row r="32" ht="15.75" customHeight="1">
      <c r="F32" s="62"/>
      <c r="H32" s="62"/>
      <c r="I32" s="62"/>
      <c r="M32" s="62"/>
      <c r="O32" s="62"/>
    </row>
    <row r="33" ht="15.75" customHeight="1">
      <c r="F33" s="62"/>
      <c r="H33" s="62"/>
      <c r="I33" s="62"/>
      <c r="M33" s="62"/>
      <c r="O33" s="62"/>
    </row>
    <row r="34" ht="15.75" customHeight="1">
      <c r="F34" s="62"/>
      <c r="H34" s="62"/>
      <c r="I34" s="62"/>
      <c r="M34" s="62"/>
      <c r="O34" s="62"/>
    </row>
    <row r="35" ht="15.75" customHeight="1">
      <c r="F35" s="62"/>
      <c r="H35" s="62"/>
      <c r="I35" s="62"/>
      <c r="M35" s="62"/>
      <c r="O35" s="62"/>
    </row>
    <row r="36" ht="15.75" customHeight="1">
      <c r="F36" s="62"/>
      <c r="H36" s="62"/>
      <c r="I36" s="62"/>
      <c r="M36" s="62"/>
      <c r="O36" s="62"/>
    </row>
    <row r="37" ht="15.75" customHeight="1">
      <c r="F37" s="62"/>
      <c r="H37" s="62"/>
      <c r="I37" s="62"/>
      <c r="M37" s="62"/>
      <c r="O37" s="62"/>
    </row>
    <row r="38" ht="15.75" customHeight="1">
      <c r="F38" s="62"/>
      <c r="H38" s="62"/>
      <c r="I38" s="62"/>
      <c r="M38" s="62"/>
      <c r="O38" s="62"/>
    </row>
    <row r="39" ht="15.75" customHeight="1">
      <c r="F39" s="62"/>
      <c r="H39" s="62"/>
      <c r="I39" s="62"/>
      <c r="M39" s="62"/>
      <c r="O39" s="62"/>
    </row>
    <row r="40" ht="15.75" customHeight="1">
      <c r="F40" s="62"/>
      <c r="H40" s="62"/>
      <c r="I40" s="62"/>
      <c r="M40" s="62"/>
      <c r="O40" s="62"/>
    </row>
    <row r="41" ht="15.75" customHeight="1">
      <c r="F41" s="62"/>
      <c r="H41" s="62"/>
      <c r="I41" s="62"/>
      <c r="M41" s="62"/>
      <c r="O41" s="62"/>
    </row>
    <row r="42" ht="15.75" customHeight="1">
      <c r="F42" s="62"/>
      <c r="H42" s="62"/>
      <c r="I42" s="62"/>
      <c r="M42" s="62"/>
      <c r="O42" s="62"/>
    </row>
    <row r="43" ht="15.75" customHeight="1">
      <c r="F43" s="62"/>
      <c r="H43" s="62"/>
      <c r="I43" s="62"/>
      <c r="M43" s="62"/>
      <c r="O43" s="62"/>
    </row>
    <row r="44" ht="15.75" customHeight="1">
      <c r="F44" s="62"/>
      <c r="H44" s="62"/>
      <c r="I44" s="62"/>
      <c r="M44" s="62"/>
      <c r="O44" s="62"/>
    </row>
    <row r="45" ht="15.75" customHeight="1">
      <c r="F45" s="62"/>
      <c r="H45" s="62"/>
      <c r="I45" s="62"/>
      <c r="M45" s="62"/>
      <c r="O45" s="62"/>
    </row>
    <row r="46" ht="15.75" customHeight="1">
      <c r="F46" s="62"/>
      <c r="H46" s="62"/>
      <c r="I46" s="62"/>
      <c r="M46" s="62"/>
      <c r="O46" s="62"/>
    </row>
    <row r="47" ht="15.75" customHeight="1">
      <c r="F47" s="62"/>
      <c r="H47" s="62"/>
      <c r="I47" s="62"/>
      <c r="M47" s="62"/>
      <c r="O47" s="62"/>
    </row>
    <row r="48" ht="15.75" customHeight="1">
      <c r="F48" s="62"/>
      <c r="H48" s="62"/>
      <c r="I48" s="62"/>
      <c r="M48" s="62"/>
      <c r="O48" s="62"/>
    </row>
    <row r="49" ht="15.75" customHeight="1">
      <c r="F49" s="62"/>
      <c r="H49" s="62"/>
      <c r="I49" s="62"/>
      <c r="M49" s="62"/>
      <c r="O49" s="62"/>
    </row>
    <row r="50" ht="15.75" customHeight="1">
      <c r="F50" s="62"/>
      <c r="H50" s="62"/>
      <c r="I50" s="62"/>
      <c r="M50" s="62"/>
      <c r="O50" s="62"/>
    </row>
    <row r="51" ht="15.75" customHeight="1">
      <c r="F51" s="62"/>
      <c r="H51" s="62"/>
      <c r="I51" s="62"/>
      <c r="M51" s="62"/>
      <c r="O51" s="62"/>
    </row>
    <row r="52" ht="15.75" customHeight="1">
      <c r="F52" s="62"/>
      <c r="H52" s="62"/>
      <c r="I52" s="62"/>
      <c r="M52" s="62"/>
      <c r="O52" s="62"/>
    </row>
    <row r="53" ht="15.75" customHeight="1">
      <c r="F53" s="62"/>
      <c r="H53" s="62"/>
      <c r="I53" s="62"/>
      <c r="M53" s="62"/>
      <c r="O53" s="62"/>
    </row>
    <row r="54" ht="15.75" customHeight="1">
      <c r="F54" s="62"/>
      <c r="H54" s="62"/>
      <c r="I54" s="62"/>
      <c r="M54" s="62"/>
      <c r="O54" s="62"/>
    </row>
    <row r="55" ht="15.75" customHeight="1">
      <c r="F55" s="62"/>
      <c r="H55" s="62"/>
      <c r="I55" s="62"/>
      <c r="M55" s="62"/>
      <c r="O55" s="62"/>
    </row>
    <row r="56" ht="15.75" customHeight="1">
      <c r="F56" s="62"/>
      <c r="H56" s="62"/>
      <c r="I56" s="62"/>
      <c r="M56" s="62"/>
      <c r="O56" s="62"/>
    </row>
    <row r="57" ht="15.75" customHeight="1">
      <c r="F57" s="62"/>
      <c r="H57" s="62"/>
      <c r="I57" s="62"/>
      <c r="M57" s="62"/>
      <c r="O57" s="62"/>
    </row>
    <row r="58" ht="15.75" customHeight="1">
      <c r="F58" s="62"/>
      <c r="H58" s="62"/>
      <c r="I58" s="62"/>
      <c r="M58" s="62"/>
      <c r="O58" s="62"/>
    </row>
    <row r="59" ht="15.75" customHeight="1">
      <c r="F59" s="62"/>
      <c r="H59" s="62"/>
      <c r="I59" s="62"/>
      <c r="M59" s="62"/>
      <c r="O59" s="62"/>
    </row>
    <row r="60" ht="15.75" customHeight="1">
      <c r="F60" s="62"/>
      <c r="H60" s="62"/>
      <c r="I60" s="62"/>
      <c r="M60" s="62"/>
      <c r="O60" s="62"/>
    </row>
    <row r="61" ht="15.75" customHeight="1">
      <c r="F61" s="62"/>
      <c r="H61" s="62"/>
      <c r="I61" s="62"/>
      <c r="M61" s="62"/>
      <c r="O61" s="62"/>
    </row>
    <row r="62" ht="15.75" customHeight="1">
      <c r="F62" s="62"/>
      <c r="H62" s="62"/>
      <c r="I62" s="62"/>
      <c r="M62" s="62"/>
      <c r="O62" s="62"/>
    </row>
    <row r="63" ht="15.75" customHeight="1">
      <c r="F63" s="62"/>
      <c r="H63" s="62"/>
      <c r="I63" s="62"/>
      <c r="M63" s="62"/>
      <c r="O63" s="62"/>
    </row>
    <row r="64" ht="15.75" customHeight="1">
      <c r="F64" s="62"/>
      <c r="H64" s="62"/>
      <c r="I64" s="62"/>
      <c r="M64" s="62"/>
      <c r="O64" s="62"/>
    </row>
    <row r="65" ht="15.75" customHeight="1">
      <c r="F65" s="62"/>
      <c r="H65" s="62"/>
      <c r="I65" s="62"/>
      <c r="M65" s="62"/>
      <c r="O65" s="62"/>
    </row>
    <row r="66" ht="15.75" customHeight="1">
      <c r="F66" s="62"/>
      <c r="H66" s="62"/>
      <c r="I66" s="62"/>
      <c r="M66" s="62"/>
      <c r="O66" s="62"/>
    </row>
    <row r="67" ht="15.75" customHeight="1">
      <c r="F67" s="62"/>
      <c r="H67" s="62"/>
      <c r="I67" s="62"/>
      <c r="M67" s="62"/>
      <c r="O67" s="62"/>
    </row>
    <row r="68" ht="15.75" customHeight="1">
      <c r="F68" s="62"/>
      <c r="H68" s="62"/>
      <c r="I68" s="62"/>
      <c r="M68" s="62"/>
      <c r="O68" s="62"/>
    </row>
    <row r="69" ht="15.75" customHeight="1">
      <c r="F69" s="62"/>
      <c r="H69" s="62"/>
      <c r="I69" s="62"/>
      <c r="M69" s="62"/>
      <c r="O69" s="62"/>
    </row>
    <row r="70" ht="15.75" customHeight="1">
      <c r="F70" s="62"/>
      <c r="H70" s="62"/>
      <c r="I70" s="62"/>
      <c r="M70" s="62"/>
      <c r="O70" s="62"/>
    </row>
    <row r="71" ht="15.75" customHeight="1">
      <c r="F71" s="62"/>
      <c r="H71" s="62"/>
      <c r="I71" s="62"/>
      <c r="M71" s="62"/>
      <c r="O71" s="62"/>
    </row>
    <row r="72" ht="15.75" customHeight="1">
      <c r="F72" s="62"/>
      <c r="H72" s="62"/>
      <c r="I72" s="62"/>
      <c r="M72" s="62"/>
      <c r="O72" s="62"/>
    </row>
    <row r="73" ht="15.75" customHeight="1">
      <c r="F73" s="62"/>
      <c r="H73" s="62"/>
      <c r="I73" s="62"/>
      <c r="M73" s="62"/>
      <c r="O73" s="62"/>
    </row>
    <row r="74" ht="15.75" customHeight="1">
      <c r="F74" s="62"/>
      <c r="H74" s="62"/>
      <c r="I74" s="62"/>
      <c r="M74" s="62"/>
      <c r="O74" s="62"/>
    </row>
    <row r="75" ht="15.75" customHeight="1">
      <c r="F75" s="62"/>
      <c r="H75" s="62"/>
      <c r="I75" s="62"/>
      <c r="M75" s="62"/>
      <c r="O75" s="62"/>
    </row>
    <row r="76" ht="15.75" customHeight="1">
      <c r="F76" s="62"/>
      <c r="H76" s="62"/>
      <c r="I76" s="62"/>
      <c r="M76" s="62"/>
      <c r="O76" s="62"/>
    </row>
    <row r="77" ht="15.75" customHeight="1">
      <c r="F77" s="62"/>
      <c r="H77" s="62"/>
      <c r="I77" s="62"/>
      <c r="M77" s="62"/>
      <c r="O77" s="62"/>
    </row>
    <row r="78" ht="15.75" customHeight="1">
      <c r="F78" s="62"/>
      <c r="H78" s="62"/>
      <c r="I78" s="62"/>
      <c r="M78" s="62"/>
      <c r="O78" s="62"/>
    </row>
    <row r="79" ht="15.75" customHeight="1">
      <c r="F79" s="62"/>
      <c r="H79" s="62"/>
      <c r="I79" s="62"/>
      <c r="M79" s="62"/>
      <c r="O79" s="62"/>
    </row>
    <row r="80" ht="15.75" customHeight="1">
      <c r="F80" s="62"/>
      <c r="H80" s="62"/>
      <c r="I80" s="62"/>
      <c r="M80" s="62"/>
      <c r="O80" s="62"/>
    </row>
    <row r="81" ht="15.75" customHeight="1">
      <c r="F81" s="62"/>
      <c r="H81" s="62"/>
      <c r="I81" s="62"/>
      <c r="M81" s="62"/>
      <c r="O81" s="62"/>
    </row>
    <row r="82" ht="15.75" customHeight="1">
      <c r="F82" s="62"/>
      <c r="H82" s="62"/>
      <c r="I82" s="62"/>
      <c r="M82" s="62"/>
      <c r="O82" s="62"/>
    </row>
    <row r="83" ht="15.75" customHeight="1">
      <c r="F83" s="62"/>
      <c r="H83" s="62"/>
      <c r="I83" s="62"/>
      <c r="M83" s="62"/>
      <c r="O83" s="62"/>
    </row>
    <row r="84" ht="15.75" customHeight="1">
      <c r="F84" s="62"/>
      <c r="H84" s="62"/>
      <c r="I84" s="62"/>
      <c r="M84" s="62"/>
      <c r="O84" s="62"/>
    </row>
    <row r="85" ht="15.75" customHeight="1">
      <c r="F85" s="62"/>
      <c r="H85" s="62"/>
      <c r="I85" s="62"/>
      <c r="M85" s="62"/>
      <c r="O85" s="62"/>
    </row>
    <row r="86" ht="15.75" customHeight="1">
      <c r="F86" s="62"/>
      <c r="H86" s="62"/>
      <c r="I86" s="62"/>
      <c r="M86" s="62"/>
      <c r="O86" s="62"/>
    </row>
    <row r="87" ht="15.75" customHeight="1">
      <c r="F87" s="62"/>
      <c r="H87" s="62"/>
      <c r="I87" s="62"/>
      <c r="M87" s="62"/>
      <c r="O87" s="62"/>
    </row>
    <row r="88" ht="15.75" customHeight="1">
      <c r="F88" s="62"/>
      <c r="H88" s="62"/>
      <c r="I88" s="62"/>
      <c r="M88" s="62"/>
      <c r="O88" s="62"/>
    </row>
    <row r="89" ht="15.75" customHeight="1">
      <c r="F89" s="62"/>
      <c r="H89" s="62"/>
      <c r="I89" s="62"/>
      <c r="M89" s="62"/>
      <c r="O89" s="62"/>
    </row>
    <row r="90" ht="15.75" customHeight="1">
      <c r="F90" s="62"/>
      <c r="H90" s="62"/>
      <c r="I90" s="62"/>
      <c r="M90" s="62"/>
      <c r="O90" s="62"/>
    </row>
    <row r="91" ht="15.75" customHeight="1">
      <c r="F91" s="62"/>
      <c r="H91" s="62"/>
      <c r="I91" s="62"/>
      <c r="M91" s="62"/>
      <c r="O91" s="62"/>
    </row>
    <row r="92" ht="15.75" customHeight="1">
      <c r="F92" s="62"/>
      <c r="H92" s="62"/>
      <c r="I92" s="62"/>
      <c r="M92" s="62"/>
      <c r="O92" s="62"/>
    </row>
    <row r="93" ht="15.75" customHeight="1">
      <c r="F93" s="62"/>
      <c r="H93" s="62"/>
      <c r="I93" s="62"/>
      <c r="M93" s="62"/>
      <c r="O93" s="62"/>
    </row>
    <row r="94" ht="15.75" customHeight="1">
      <c r="F94" s="62"/>
      <c r="H94" s="62"/>
      <c r="I94" s="62"/>
      <c r="M94" s="62"/>
      <c r="O94" s="62"/>
    </row>
    <row r="95" ht="15.75" customHeight="1">
      <c r="F95" s="62"/>
      <c r="H95" s="62"/>
      <c r="I95" s="62"/>
      <c r="M95" s="62"/>
      <c r="O95" s="62"/>
    </row>
    <row r="96" ht="15.75" customHeight="1">
      <c r="F96" s="62"/>
      <c r="H96" s="62"/>
      <c r="I96" s="62"/>
      <c r="M96" s="62"/>
      <c r="O96" s="62"/>
    </row>
    <row r="97" ht="15.75" customHeight="1">
      <c r="F97" s="62"/>
      <c r="H97" s="62"/>
      <c r="I97" s="62"/>
      <c r="M97" s="62"/>
      <c r="O97" s="62"/>
    </row>
    <row r="98" ht="15.75" customHeight="1">
      <c r="F98" s="62"/>
      <c r="H98" s="62"/>
      <c r="I98" s="62"/>
      <c r="M98" s="62"/>
      <c r="O98" s="62"/>
    </row>
    <row r="99" ht="15.75" customHeight="1">
      <c r="F99" s="62"/>
      <c r="H99" s="62"/>
      <c r="I99" s="62"/>
      <c r="M99" s="62"/>
      <c r="O99" s="62"/>
    </row>
    <row r="100" ht="15.75" customHeight="1">
      <c r="F100" s="62"/>
      <c r="H100" s="62"/>
      <c r="I100" s="62"/>
      <c r="M100" s="62"/>
      <c r="O100" s="62"/>
    </row>
    <row r="101" ht="15.75" customHeight="1">
      <c r="F101" s="62"/>
      <c r="H101" s="62"/>
      <c r="I101" s="62"/>
      <c r="M101" s="62"/>
      <c r="O101" s="62"/>
    </row>
    <row r="102" ht="15.75" customHeight="1">
      <c r="F102" s="62"/>
      <c r="H102" s="62"/>
      <c r="I102" s="62"/>
      <c r="M102" s="62"/>
      <c r="O102" s="62"/>
    </row>
    <row r="103" ht="15.75" customHeight="1">
      <c r="F103" s="62"/>
      <c r="H103" s="62"/>
      <c r="I103" s="62"/>
      <c r="M103" s="62"/>
      <c r="O103" s="62"/>
    </row>
    <row r="104" ht="15.75" customHeight="1">
      <c r="F104" s="62"/>
      <c r="H104" s="62"/>
      <c r="I104" s="62"/>
      <c r="M104" s="62"/>
      <c r="O104" s="62"/>
    </row>
    <row r="105" ht="15.75" customHeight="1">
      <c r="F105" s="62"/>
      <c r="H105" s="62"/>
      <c r="I105" s="62"/>
      <c r="M105" s="62"/>
      <c r="O105" s="62"/>
    </row>
    <row r="106" ht="15.75" customHeight="1">
      <c r="F106" s="62"/>
      <c r="H106" s="62"/>
      <c r="I106" s="62"/>
      <c r="M106" s="62"/>
      <c r="O106" s="62"/>
    </row>
    <row r="107" ht="15.75" customHeight="1">
      <c r="F107" s="62"/>
      <c r="H107" s="62"/>
      <c r="I107" s="62"/>
      <c r="M107" s="62"/>
      <c r="O107" s="62"/>
    </row>
    <row r="108" ht="15.75" customHeight="1">
      <c r="F108" s="62"/>
      <c r="H108" s="62"/>
      <c r="I108" s="62"/>
      <c r="M108" s="62"/>
      <c r="O108" s="62"/>
    </row>
    <row r="109" ht="15.75" customHeight="1">
      <c r="F109" s="62"/>
      <c r="H109" s="62"/>
      <c r="I109" s="62"/>
      <c r="M109" s="62"/>
      <c r="O109" s="62"/>
    </row>
    <row r="110" ht="15.75" customHeight="1">
      <c r="F110" s="62"/>
      <c r="H110" s="62"/>
      <c r="I110" s="62"/>
      <c r="M110" s="62"/>
      <c r="O110" s="62"/>
    </row>
    <row r="111" ht="15.75" customHeight="1">
      <c r="F111" s="62"/>
      <c r="H111" s="62"/>
      <c r="I111" s="62"/>
      <c r="M111" s="62"/>
      <c r="O111" s="62"/>
    </row>
    <row r="112" ht="15.75" customHeight="1">
      <c r="F112" s="62"/>
      <c r="H112" s="62"/>
      <c r="I112" s="62"/>
      <c r="M112" s="62"/>
      <c r="O112" s="62"/>
    </row>
    <row r="113" ht="15.75" customHeight="1">
      <c r="F113" s="62"/>
      <c r="H113" s="62"/>
      <c r="I113" s="62"/>
      <c r="M113" s="62"/>
      <c r="O113" s="62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17"/>
  <conditionalFormatting sqref="F5:F1000">
    <cfRule type="expression" dxfId="0" priority="1">
      <formula>OR(F5="Zusage",F5="Terminiert",F5="Durchgeführt")</formula>
    </cfRule>
  </conditionalFormatting>
  <conditionalFormatting sqref="F5:F1000">
    <cfRule type="cellIs" dxfId="1" priority="2" operator="equal">
      <formula>"Absage"</formula>
    </cfRule>
  </conditionalFormatting>
  <dataValidations>
    <dataValidation type="list" allowBlank="1" sqref="F5:F113">
      <formula1>"Kontaktiert,Nachfragen,Zusage,Terminiert,Durchgeführt,Abgeschlossen,Absage"</formula1>
    </dataValidation>
    <dataValidation type="list" allowBlank="1" sqref="H5:I113">
      <formula1>"Andreas Braxmeier,Nadine Beha,Sophie Scheffler,Ragavi Anusujantha,Nina Ludwig"</formula1>
    </dataValidation>
    <dataValidation type="list" allowBlank="1" sqref="M5:M113">
      <formula1>"Zoom,Präsenz,Telefon,Teams,Sonstiges"</formula1>
    </dataValidation>
    <dataValidation type="list" allowBlank="1" sqref="O5:O113">
      <formula1>"Bedarfsanalyse,Versorgungslage,Kooperationen,Prävention,Zugangsbarrieren,Best Practices,Zukunftswünsche,Sonstiges"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3" width="20.0"/>
    <col customWidth="1" min="4" max="4" width="35.0"/>
    <col customWidth="1" min="5" max="7" width="20.0"/>
    <col customWidth="1" min="8" max="9" width="25.0"/>
    <col customWidth="1" min="10" max="13" width="20.0"/>
    <col customWidth="1" min="14" max="14" width="30.0"/>
    <col customWidth="1" min="15" max="15" width="40.0"/>
    <col customWidth="1" min="16" max="16" width="20.0"/>
    <col customWidth="1" min="17" max="26" width="8.71"/>
  </cols>
  <sheetData>
    <row r="1">
      <c r="A1" s="2" t="s">
        <v>743</v>
      </c>
      <c r="B1" s="62" t="s">
        <v>744</v>
      </c>
    </row>
    <row r="4">
      <c r="A4" s="64" t="s">
        <v>7</v>
      </c>
      <c r="B4" s="64" t="s">
        <v>73</v>
      </c>
      <c r="C4" s="64" t="s">
        <v>9</v>
      </c>
      <c r="D4" s="64" t="s">
        <v>76</v>
      </c>
      <c r="E4" s="64" t="s">
        <v>613</v>
      </c>
      <c r="F4" s="64" t="s">
        <v>5</v>
      </c>
      <c r="G4" s="64" t="s">
        <v>75</v>
      </c>
      <c r="H4" s="64" t="s">
        <v>614</v>
      </c>
      <c r="I4" s="64" t="s">
        <v>615</v>
      </c>
      <c r="J4" s="64" t="s">
        <v>616</v>
      </c>
      <c r="K4" s="64" t="s">
        <v>617</v>
      </c>
      <c r="L4" s="64" t="s">
        <v>618</v>
      </c>
      <c r="M4" s="64" t="s">
        <v>619</v>
      </c>
      <c r="N4" s="64" t="s">
        <v>620</v>
      </c>
      <c r="O4" s="64" t="s">
        <v>621</v>
      </c>
      <c r="P4" s="64" t="s">
        <v>622</v>
      </c>
    </row>
    <row r="5">
      <c r="A5" s="4" t="s">
        <v>60</v>
      </c>
      <c r="B5" s="4" t="s">
        <v>30</v>
      </c>
      <c r="C5" s="4" t="s">
        <v>13</v>
      </c>
      <c r="D5" s="4" t="s">
        <v>647</v>
      </c>
      <c r="E5" s="4" t="s">
        <v>648</v>
      </c>
      <c r="F5" s="4"/>
      <c r="G5" s="4"/>
      <c r="H5" s="4"/>
      <c r="I5" s="4"/>
      <c r="J5" s="66"/>
      <c r="K5" s="67"/>
      <c r="L5" s="68"/>
      <c r="M5" s="4"/>
      <c r="N5" s="4"/>
      <c r="O5" s="4"/>
      <c r="P5" s="4"/>
    </row>
    <row r="6">
      <c r="A6" s="4" t="s">
        <v>649</v>
      </c>
      <c r="B6" s="4" t="s">
        <v>22</v>
      </c>
      <c r="C6" s="4" t="s">
        <v>29</v>
      </c>
      <c r="D6" s="4" t="s">
        <v>650</v>
      </c>
      <c r="E6" s="4" t="s">
        <v>648</v>
      </c>
      <c r="F6" s="4"/>
      <c r="G6" s="4"/>
      <c r="H6" s="4"/>
      <c r="I6" s="4"/>
      <c r="J6" s="66"/>
      <c r="K6" s="67"/>
      <c r="L6" s="68"/>
      <c r="M6" s="4"/>
      <c r="N6" s="4"/>
      <c r="O6" s="4"/>
      <c r="P6" s="4"/>
    </row>
    <row r="7">
      <c r="A7" s="4" t="s">
        <v>555</v>
      </c>
      <c r="B7" s="4" t="s">
        <v>30</v>
      </c>
      <c r="C7" s="4" t="s">
        <v>29</v>
      </c>
      <c r="D7" s="4" t="s">
        <v>651</v>
      </c>
      <c r="E7" s="4" t="s">
        <v>648</v>
      </c>
      <c r="F7" s="4"/>
      <c r="G7" s="4"/>
      <c r="H7" s="4"/>
      <c r="I7" s="4"/>
      <c r="J7" s="66"/>
      <c r="K7" s="67"/>
      <c r="L7" s="68"/>
      <c r="M7" s="4"/>
      <c r="N7" s="4"/>
      <c r="O7" s="4"/>
      <c r="P7" s="4"/>
    </row>
    <row r="8">
      <c r="A8" s="4" t="s">
        <v>652</v>
      </c>
      <c r="B8" s="4" t="s">
        <v>430</v>
      </c>
      <c r="C8" s="4" t="s">
        <v>330</v>
      </c>
      <c r="D8" s="4" t="s">
        <v>653</v>
      </c>
      <c r="E8" s="4" t="s">
        <v>648</v>
      </c>
      <c r="F8" s="4"/>
      <c r="G8" s="4"/>
      <c r="H8" s="4"/>
      <c r="I8" s="4"/>
      <c r="J8" s="66"/>
      <c r="K8" s="67"/>
      <c r="L8" s="68"/>
      <c r="M8" s="4"/>
      <c r="N8" s="4"/>
      <c r="O8" s="4"/>
      <c r="P8" s="4"/>
    </row>
    <row r="9">
      <c r="A9" s="4" t="s">
        <v>654</v>
      </c>
      <c r="B9" s="4" t="s">
        <v>655</v>
      </c>
      <c r="C9" s="4" t="s">
        <v>139</v>
      </c>
      <c r="D9" s="4" t="s">
        <v>656</v>
      </c>
      <c r="E9" s="4" t="s">
        <v>648</v>
      </c>
      <c r="F9" s="4"/>
      <c r="G9" s="4"/>
      <c r="H9" s="4"/>
      <c r="I9" s="4"/>
      <c r="J9" s="66"/>
      <c r="K9" s="67"/>
      <c r="L9" s="68"/>
      <c r="M9" s="4"/>
      <c r="N9" s="4"/>
      <c r="O9" s="4"/>
      <c r="P9" s="4"/>
    </row>
    <row r="10">
      <c r="A10" s="4" t="s">
        <v>657</v>
      </c>
      <c r="B10" s="4" t="s">
        <v>26</v>
      </c>
      <c r="C10" s="4" t="s">
        <v>21</v>
      </c>
      <c r="D10" s="4" t="s">
        <v>658</v>
      </c>
      <c r="E10" s="4" t="s">
        <v>648</v>
      </c>
      <c r="F10" s="4"/>
      <c r="G10" s="4"/>
      <c r="H10" s="4"/>
      <c r="I10" s="4"/>
      <c r="J10" s="66"/>
      <c r="K10" s="67"/>
      <c r="L10" s="68"/>
      <c r="M10" s="4"/>
      <c r="N10" s="4"/>
      <c r="O10" s="4"/>
      <c r="P10" s="4"/>
    </row>
    <row r="11">
      <c r="A11" s="4" t="s">
        <v>659</v>
      </c>
      <c r="B11" s="4" t="s">
        <v>101</v>
      </c>
      <c r="C11" s="4" t="s">
        <v>17</v>
      </c>
      <c r="D11" s="4" t="s">
        <v>660</v>
      </c>
      <c r="E11" s="4" t="s">
        <v>648</v>
      </c>
      <c r="F11" s="4"/>
      <c r="G11" s="4"/>
      <c r="H11" s="4"/>
      <c r="I11" s="4"/>
      <c r="J11" s="66"/>
      <c r="K11" s="67"/>
      <c r="L11" s="68"/>
      <c r="M11" s="4"/>
      <c r="N11" s="4"/>
      <c r="O11" s="4"/>
      <c r="P11" s="4"/>
    </row>
    <row r="12">
      <c r="A12" s="4" t="s">
        <v>661</v>
      </c>
      <c r="B12" s="4" t="s">
        <v>26</v>
      </c>
      <c r="C12" s="4" t="s">
        <v>13</v>
      </c>
      <c r="D12" s="4" t="s">
        <v>662</v>
      </c>
      <c r="E12" s="4" t="s">
        <v>648</v>
      </c>
      <c r="F12" s="4"/>
      <c r="G12" s="4"/>
      <c r="H12" s="4"/>
      <c r="I12" s="4"/>
      <c r="J12" s="66"/>
      <c r="K12" s="67"/>
      <c r="L12" s="68"/>
      <c r="M12" s="4"/>
      <c r="N12" s="4"/>
      <c r="O12" s="4"/>
      <c r="P12" s="4"/>
    </row>
    <row r="13">
      <c r="A13" s="4" t="s">
        <v>663</v>
      </c>
      <c r="B13" s="4" t="s">
        <v>33</v>
      </c>
      <c r="C13" s="4" t="s">
        <v>13</v>
      </c>
      <c r="D13" s="4" t="s">
        <v>664</v>
      </c>
      <c r="E13" s="4" t="s">
        <v>648</v>
      </c>
      <c r="F13" s="4"/>
      <c r="G13" s="4"/>
      <c r="H13" s="4"/>
      <c r="I13" s="4"/>
      <c r="J13" s="66"/>
      <c r="K13" s="67"/>
      <c r="L13" s="68"/>
      <c r="M13" s="4"/>
      <c r="N13" s="4"/>
      <c r="O13" s="4"/>
      <c r="P13" s="4"/>
    </row>
    <row r="14">
      <c r="A14" s="4" t="s">
        <v>665</v>
      </c>
      <c r="B14" s="4" t="s">
        <v>18</v>
      </c>
      <c r="C14" s="4" t="s">
        <v>35</v>
      </c>
      <c r="D14" s="4" t="s">
        <v>666</v>
      </c>
      <c r="E14" s="4" t="s">
        <v>648</v>
      </c>
      <c r="F14" s="4"/>
      <c r="G14" s="4"/>
      <c r="H14" s="4"/>
      <c r="I14" s="4"/>
      <c r="J14" s="66"/>
      <c r="K14" s="67"/>
      <c r="L14" s="68"/>
      <c r="M14" s="4"/>
      <c r="N14" s="4"/>
      <c r="O14" s="4"/>
      <c r="P14" s="4"/>
    </row>
    <row r="15">
      <c r="A15" s="4" t="s">
        <v>667</v>
      </c>
      <c r="B15" s="4" t="s">
        <v>258</v>
      </c>
      <c r="C15" s="4" t="s">
        <v>174</v>
      </c>
      <c r="D15" s="4" t="s">
        <v>668</v>
      </c>
      <c r="E15" s="4" t="s">
        <v>648</v>
      </c>
      <c r="F15" s="4"/>
      <c r="G15" s="4"/>
      <c r="H15" s="4"/>
      <c r="I15" s="4"/>
      <c r="J15" s="66"/>
      <c r="K15" s="67"/>
      <c r="L15" s="68"/>
      <c r="M15" s="4"/>
      <c r="N15" s="4"/>
      <c r="O15" s="4"/>
      <c r="P15" s="4"/>
    </row>
    <row r="16">
      <c r="A16" s="4" t="s">
        <v>670</v>
      </c>
      <c r="B16" s="4" t="s">
        <v>258</v>
      </c>
      <c r="C16" s="4" t="s">
        <v>297</v>
      </c>
      <c r="D16" s="4" t="s">
        <v>671</v>
      </c>
      <c r="E16" s="4" t="s">
        <v>648</v>
      </c>
      <c r="F16" s="4"/>
      <c r="G16" s="4"/>
      <c r="H16" s="4"/>
      <c r="I16" s="4"/>
      <c r="J16" s="66"/>
      <c r="K16" s="67"/>
      <c r="L16" s="68"/>
      <c r="M16" s="4"/>
      <c r="N16" s="4"/>
      <c r="O16" s="4"/>
      <c r="P16" s="4"/>
    </row>
    <row r="17">
      <c r="A17" s="4" t="s">
        <v>672</v>
      </c>
      <c r="B17" s="4" t="s">
        <v>26</v>
      </c>
      <c r="C17" s="4" t="s">
        <v>207</v>
      </c>
      <c r="D17" s="4" t="s">
        <v>673</v>
      </c>
      <c r="E17" s="4" t="s">
        <v>648</v>
      </c>
      <c r="F17" s="4"/>
      <c r="G17" s="4"/>
      <c r="H17" s="4"/>
      <c r="I17" s="4"/>
      <c r="J17" s="66"/>
      <c r="K17" s="67"/>
      <c r="L17" s="68"/>
      <c r="M17" s="4"/>
      <c r="N17" s="4"/>
      <c r="O17" s="4"/>
      <c r="P17" s="4"/>
    </row>
    <row r="18">
      <c r="A18" s="4" t="s">
        <v>674</v>
      </c>
      <c r="B18" s="4" t="s">
        <v>655</v>
      </c>
      <c r="C18" s="4" t="s">
        <v>313</v>
      </c>
      <c r="D18" s="4" t="s">
        <v>675</v>
      </c>
      <c r="E18" s="4" t="s">
        <v>648</v>
      </c>
      <c r="F18" s="4"/>
      <c r="G18" s="4"/>
      <c r="H18" s="4"/>
      <c r="I18" s="4"/>
      <c r="J18" s="66"/>
      <c r="K18" s="67"/>
      <c r="L18" s="68"/>
      <c r="M18" s="4"/>
      <c r="N18" s="4"/>
      <c r="O18" s="4"/>
      <c r="P18" s="4"/>
    </row>
    <row r="19">
      <c r="F19" s="62"/>
      <c r="H19" s="62"/>
      <c r="I19" s="62"/>
      <c r="M19" s="62"/>
      <c r="O19" s="62"/>
    </row>
    <row r="20">
      <c r="F20" s="62"/>
      <c r="H20" s="62"/>
      <c r="I20" s="62"/>
      <c r="M20" s="62"/>
      <c r="O20" s="62"/>
    </row>
    <row r="21" ht="15.75" customHeight="1">
      <c r="F21" s="62"/>
      <c r="H21" s="62"/>
      <c r="I21" s="62"/>
      <c r="M21" s="62"/>
      <c r="O21" s="62"/>
    </row>
    <row r="22" ht="15.75" customHeight="1">
      <c r="F22" s="62"/>
      <c r="H22" s="62"/>
      <c r="I22" s="62"/>
      <c r="M22" s="62"/>
      <c r="O22" s="62"/>
    </row>
    <row r="23" ht="15.75" customHeight="1">
      <c r="F23" s="62"/>
      <c r="H23" s="62"/>
      <c r="I23" s="62"/>
      <c r="M23" s="62"/>
      <c r="O23" s="62"/>
    </row>
    <row r="24" ht="15.75" customHeight="1">
      <c r="F24" s="62"/>
      <c r="H24" s="62"/>
      <c r="I24" s="62"/>
      <c r="M24" s="62"/>
      <c r="O24" s="62"/>
    </row>
    <row r="25" ht="15.75" customHeight="1">
      <c r="F25" s="62"/>
      <c r="H25" s="62"/>
      <c r="I25" s="62"/>
      <c r="M25" s="62"/>
      <c r="O25" s="62"/>
    </row>
    <row r="26" ht="15.75" customHeight="1">
      <c r="F26" s="62"/>
      <c r="H26" s="62"/>
      <c r="I26" s="62"/>
      <c r="M26" s="62"/>
      <c r="O26" s="62"/>
    </row>
    <row r="27" ht="15.75" customHeight="1">
      <c r="F27" s="62"/>
      <c r="H27" s="62"/>
      <c r="I27" s="62"/>
      <c r="M27" s="62"/>
      <c r="O27" s="62"/>
    </row>
    <row r="28" ht="15.75" customHeight="1">
      <c r="F28" s="62"/>
      <c r="H28" s="62"/>
      <c r="I28" s="62"/>
      <c r="M28" s="62"/>
      <c r="O28" s="62"/>
    </row>
    <row r="29" ht="15.75" customHeight="1">
      <c r="F29" s="62"/>
      <c r="H29" s="62"/>
      <c r="I29" s="62"/>
      <c r="M29" s="62"/>
      <c r="O29" s="62"/>
    </row>
    <row r="30" ht="15.75" customHeight="1">
      <c r="F30" s="62"/>
      <c r="H30" s="62"/>
      <c r="I30" s="62"/>
      <c r="M30" s="62"/>
      <c r="O30" s="62"/>
    </row>
    <row r="31" ht="15.75" customHeight="1">
      <c r="F31" s="62"/>
      <c r="H31" s="62"/>
      <c r="I31" s="62"/>
      <c r="M31" s="62"/>
      <c r="O31" s="62"/>
    </row>
    <row r="32" ht="15.75" customHeight="1">
      <c r="F32" s="62"/>
      <c r="H32" s="62"/>
      <c r="I32" s="62"/>
      <c r="M32" s="62"/>
      <c r="O32" s="62"/>
    </row>
    <row r="33" ht="15.75" customHeight="1">
      <c r="F33" s="62"/>
      <c r="H33" s="62"/>
      <c r="I33" s="62"/>
      <c r="M33" s="62"/>
      <c r="O33" s="62"/>
    </row>
    <row r="34" ht="15.75" customHeight="1">
      <c r="F34" s="62"/>
      <c r="H34" s="62"/>
      <c r="I34" s="62"/>
      <c r="M34" s="62"/>
      <c r="O34" s="62"/>
    </row>
    <row r="35" ht="15.75" customHeight="1">
      <c r="F35" s="62"/>
      <c r="H35" s="62"/>
      <c r="I35" s="62"/>
      <c r="M35" s="62"/>
      <c r="O35" s="62"/>
    </row>
    <row r="36" ht="15.75" customHeight="1">
      <c r="F36" s="62"/>
      <c r="H36" s="62"/>
      <c r="I36" s="62"/>
      <c r="M36" s="62"/>
      <c r="O36" s="62"/>
    </row>
    <row r="37" ht="15.75" customHeight="1">
      <c r="F37" s="62"/>
      <c r="H37" s="62"/>
      <c r="I37" s="62"/>
      <c r="M37" s="62"/>
      <c r="O37" s="62"/>
    </row>
    <row r="38" ht="15.75" customHeight="1">
      <c r="F38" s="62"/>
      <c r="H38" s="62"/>
      <c r="I38" s="62"/>
      <c r="M38" s="62"/>
      <c r="O38" s="62"/>
    </row>
    <row r="39" ht="15.75" customHeight="1">
      <c r="F39" s="62"/>
      <c r="H39" s="62"/>
      <c r="I39" s="62"/>
      <c r="M39" s="62"/>
      <c r="O39" s="62"/>
    </row>
    <row r="40" ht="15.75" customHeight="1">
      <c r="F40" s="62"/>
      <c r="H40" s="62"/>
      <c r="I40" s="62"/>
      <c r="M40" s="62"/>
      <c r="O40" s="62"/>
    </row>
    <row r="41" ht="15.75" customHeight="1">
      <c r="F41" s="62"/>
      <c r="H41" s="62"/>
      <c r="I41" s="62"/>
      <c r="M41" s="62"/>
      <c r="O41" s="62"/>
    </row>
    <row r="42" ht="15.75" customHeight="1">
      <c r="F42" s="62"/>
      <c r="H42" s="62"/>
      <c r="I42" s="62"/>
      <c r="M42" s="62"/>
      <c r="O42" s="62"/>
    </row>
    <row r="43" ht="15.75" customHeight="1">
      <c r="F43" s="62"/>
      <c r="H43" s="62"/>
      <c r="I43" s="62"/>
      <c r="M43" s="62"/>
      <c r="O43" s="62"/>
    </row>
    <row r="44" ht="15.75" customHeight="1">
      <c r="F44" s="62"/>
      <c r="H44" s="62"/>
      <c r="I44" s="62"/>
      <c r="M44" s="62"/>
      <c r="O44" s="62"/>
    </row>
    <row r="45" ht="15.75" customHeight="1">
      <c r="F45" s="62"/>
      <c r="H45" s="62"/>
      <c r="I45" s="62"/>
      <c r="M45" s="62"/>
      <c r="O45" s="62"/>
    </row>
    <row r="46" ht="15.75" customHeight="1">
      <c r="F46" s="62"/>
      <c r="H46" s="62"/>
      <c r="I46" s="62"/>
      <c r="M46" s="62"/>
      <c r="O46" s="62"/>
    </row>
    <row r="47" ht="15.75" customHeight="1">
      <c r="F47" s="62"/>
      <c r="H47" s="62"/>
      <c r="I47" s="62"/>
      <c r="M47" s="62"/>
      <c r="O47" s="62"/>
    </row>
    <row r="48" ht="15.75" customHeight="1">
      <c r="F48" s="62"/>
      <c r="H48" s="62"/>
      <c r="I48" s="62"/>
      <c r="M48" s="62"/>
      <c r="O48" s="62"/>
    </row>
    <row r="49" ht="15.75" customHeight="1">
      <c r="F49" s="62"/>
      <c r="H49" s="62"/>
      <c r="I49" s="62"/>
      <c r="M49" s="62"/>
      <c r="O49" s="62"/>
    </row>
    <row r="50" ht="15.75" customHeight="1">
      <c r="F50" s="62"/>
      <c r="H50" s="62"/>
      <c r="I50" s="62"/>
      <c r="M50" s="62"/>
      <c r="O50" s="62"/>
    </row>
    <row r="51" ht="15.75" customHeight="1">
      <c r="F51" s="62"/>
      <c r="H51" s="62"/>
      <c r="I51" s="62"/>
      <c r="M51" s="62"/>
      <c r="O51" s="62"/>
    </row>
    <row r="52" ht="15.75" customHeight="1">
      <c r="F52" s="62"/>
      <c r="H52" s="62"/>
      <c r="I52" s="62"/>
      <c r="M52" s="62"/>
      <c r="O52" s="62"/>
    </row>
    <row r="53" ht="15.75" customHeight="1">
      <c r="F53" s="62"/>
      <c r="H53" s="62"/>
      <c r="I53" s="62"/>
      <c r="M53" s="62"/>
      <c r="O53" s="62"/>
    </row>
    <row r="54" ht="15.75" customHeight="1">
      <c r="F54" s="62"/>
      <c r="H54" s="62"/>
      <c r="I54" s="62"/>
      <c r="M54" s="62"/>
      <c r="O54" s="62"/>
    </row>
    <row r="55" ht="15.75" customHeight="1">
      <c r="F55" s="62"/>
      <c r="H55" s="62"/>
      <c r="I55" s="62"/>
      <c r="M55" s="62"/>
      <c r="O55" s="62"/>
    </row>
    <row r="56" ht="15.75" customHeight="1">
      <c r="F56" s="62"/>
      <c r="H56" s="62"/>
      <c r="I56" s="62"/>
      <c r="M56" s="62"/>
      <c r="O56" s="62"/>
    </row>
    <row r="57" ht="15.75" customHeight="1">
      <c r="F57" s="62"/>
      <c r="H57" s="62"/>
      <c r="I57" s="62"/>
      <c r="M57" s="62"/>
      <c r="O57" s="62"/>
    </row>
    <row r="58" ht="15.75" customHeight="1">
      <c r="F58" s="62"/>
      <c r="H58" s="62"/>
      <c r="I58" s="62"/>
      <c r="M58" s="62"/>
      <c r="O58" s="62"/>
    </row>
    <row r="59" ht="15.75" customHeight="1">
      <c r="F59" s="62"/>
      <c r="H59" s="62"/>
      <c r="I59" s="62"/>
      <c r="M59" s="62"/>
      <c r="O59" s="62"/>
    </row>
    <row r="60" ht="15.75" customHeight="1">
      <c r="F60" s="62"/>
      <c r="H60" s="62"/>
      <c r="I60" s="62"/>
      <c r="M60" s="62"/>
      <c r="O60" s="62"/>
    </row>
    <row r="61" ht="15.75" customHeight="1">
      <c r="F61" s="62"/>
      <c r="H61" s="62"/>
      <c r="I61" s="62"/>
      <c r="M61" s="62"/>
      <c r="O61" s="62"/>
    </row>
    <row r="62" ht="15.75" customHeight="1">
      <c r="F62" s="62"/>
      <c r="H62" s="62"/>
      <c r="I62" s="62"/>
      <c r="M62" s="62"/>
      <c r="O62" s="62"/>
    </row>
    <row r="63" ht="15.75" customHeight="1">
      <c r="F63" s="62"/>
      <c r="H63" s="62"/>
      <c r="I63" s="62"/>
      <c r="M63" s="62"/>
      <c r="O63" s="62"/>
    </row>
    <row r="64" ht="15.75" customHeight="1">
      <c r="F64" s="62"/>
      <c r="H64" s="62"/>
      <c r="I64" s="62"/>
      <c r="M64" s="62"/>
      <c r="O64" s="62"/>
    </row>
    <row r="65" ht="15.75" customHeight="1">
      <c r="F65" s="62"/>
      <c r="H65" s="62"/>
      <c r="I65" s="62"/>
      <c r="M65" s="62"/>
      <c r="O65" s="62"/>
    </row>
    <row r="66" ht="15.75" customHeight="1">
      <c r="F66" s="62"/>
      <c r="H66" s="62"/>
      <c r="I66" s="62"/>
      <c r="M66" s="62"/>
      <c r="O66" s="62"/>
    </row>
    <row r="67" ht="15.75" customHeight="1">
      <c r="F67" s="62"/>
      <c r="H67" s="62"/>
      <c r="I67" s="62"/>
      <c r="M67" s="62"/>
      <c r="O67" s="62"/>
    </row>
    <row r="68" ht="15.75" customHeight="1">
      <c r="F68" s="62"/>
      <c r="H68" s="62"/>
      <c r="I68" s="62"/>
      <c r="M68" s="62"/>
      <c r="O68" s="62"/>
    </row>
    <row r="69" ht="15.75" customHeight="1">
      <c r="F69" s="62"/>
      <c r="H69" s="62"/>
      <c r="I69" s="62"/>
      <c r="M69" s="62"/>
      <c r="O69" s="62"/>
    </row>
    <row r="70" ht="15.75" customHeight="1">
      <c r="F70" s="62"/>
      <c r="H70" s="62"/>
      <c r="I70" s="62"/>
      <c r="M70" s="62"/>
      <c r="O70" s="62"/>
    </row>
    <row r="71" ht="15.75" customHeight="1">
      <c r="F71" s="62"/>
      <c r="H71" s="62"/>
      <c r="I71" s="62"/>
      <c r="M71" s="62"/>
      <c r="O71" s="62"/>
    </row>
    <row r="72" ht="15.75" customHeight="1">
      <c r="F72" s="62"/>
      <c r="H72" s="62"/>
      <c r="I72" s="62"/>
      <c r="M72" s="62"/>
      <c r="O72" s="62"/>
    </row>
    <row r="73" ht="15.75" customHeight="1">
      <c r="F73" s="62"/>
      <c r="H73" s="62"/>
      <c r="I73" s="62"/>
      <c r="M73" s="62"/>
      <c r="O73" s="62"/>
    </row>
    <row r="74" ht="15.75" customHeight="1">
      <c r="F74" s="62"/>
      <c r="H74" s="62"/>
      <c r="I74" s="62"/>
      <c r="M74" s="62"/>
      <c r="O74" s="62"/>
    </row>
    <row r="75" ht="15.75" customHeight="1">
      <c r="F75" s="62"/>
      <c r="H75" s="62"/>
      <c r="I75" s="62"/>
      <c r="M75" s="62"/>
      <c r="O75" s="62"/>
    </row>
    <row r="76" ht="15.75" customHeight="1">
      <c r="F76" s="62"/>
      <c r="H76" s="62"/>
      <c r="I76" s="62"/>
      <c r="M76" s="62"/>
      <c r="O76" s="62"/>
    </row>
    <row r="77" ht="15.75" customHeight="1">
      <c r="F77" s="62"/>
      <c r="H77" s="62"/>
      <c r="I77" s="62"/>
      <c r="M77" s="62"/>
      <c r="O77" s="62"/>
    </row>
    <row r="78" ht="15.75" customHeight="1">
      <c r="F78" s="62"/>
      <c r="H78" s="62"/>
      <c r="I78" s="62"/>
      <c r="M78" s="62"/>
      <c r="O78" s="62"/>
    </row>
    <row r="79" ht="15.75" customHeight="1">
      <c r="F79" s="62"/>
      <c r="H79" s="62"/>
      <c r="I79" s="62"/>
      <c r="M79" s="62"/>
      <c r="O79" s="62"/>
    </row>
    <row r="80" ht="15.75" customHeight="1">
      <c r="F80" s="62"/>
      <c r="H80" s="62"/>
      <c r="I80" s="62"/>
      <c r="M80" s="62"/>
      <c r="O80" s="62"/>
    </row>
    <row r="81" ht="15.75" customHeight="1">
      <c r="F81" s="62"/>
      <c r="H81" s="62"/>
      <c r="I81" s="62"/>
      <c r="M81" s="62"/>
      <c r="O81" s="62"/>
    </row>
    <row r="82" ht="15.75" customHeight="1">
      <c r="F82" s="62"/>
      <c r="H82" s="62"/>
      <c r="I82" s="62"/>
      <c r="M82" s="62"/>
      <c r="O82" s="62"/>
    </row>
    <row r="83" ht="15.75" customHeight="1">
      <c r="F83" s="62"/>
      <c r="H83" s="62"/>
      <c r="I83" s="62"/>
      <c r="M83" s="62"/>
      <c r="O83" s="62"/>
    </row>
    <row r="84" ht="15.75" customHeight="1">
      <c r="F84" s="62"/>
      <c r="H84" s="62"/>
      <c r="I84" s="62"/>
      <c r="M84" s="62"/>
      <c r="O84" s="62"/>
    </row>
    <row r="85" ht="15.75" customHeight="1">
      <c r="F85" s="62"/>
      <c r="H85" s="62"/>
      <c r="I85" s="62"/>
      <c r="M85" s="62"/>
      <c r="O85" s="62"/>
    </row>
    <row r="86" ht="15.75" customHeight="1">
      <c r="F86" s="62"/>
      <c r="H86" s="62"/>
      <c r="I86" s="62"/>
      <c r="M86" s="62"/>
      <c r="O86" s="62"/>
    </row>
    <row r="87" ht="15.75" customHeight="1">
      <c r="F87" s="62"/>
      <c r="H87" s="62"/>
      <c r="I87" s="62"/>
      <c r="M87" s="62"/>
      <c r="O87" s="62"/>
    </row>
    <row r="88" ht="15.75" customHeight="1">
      <c r="F88" s="62"/>
      <c r="H88" s="62"/>
      <c r="I88" s="62"/>
      <c r="M88" s="62"/>
      <c r="O88" s="62"/>
    </row>
    <row r="89" ht="15.75" customHeight="1">
      <c r="F89" s="62"/>
      <c r="H89" s="62"/>
      <c r="I89" s="62"/>
      <c r="M89" s="62"/>
      <c r="O89" s="62"/>
    </row>
    <row r="90" ht="15.75" customHeight="1">
      <c r="F90" s="62"/>
      <c r="H90" s="62"/>
      <c r="I90" s="62"/>
      <c r="M90" s="62"/>
      <c r="O90" s="62"/>
    </row>
    <row r="91" ht="15.75" customHeight="1">
      <c r="F91" s="62"/>
      <c r="H91" s="62"/>
      <c r="I91" s="62"/>
      <c r="M91" s="62"/>
      <c r="O91" s="62"/>
    </row>
    <row r="92" ht="15.75" customHeight="1">
      <c r="F92" s="62"/>
      <c r="H92" s="62"/>
      <c r="I92" s="62"/>
      <c r="M92" s="62"/>
      <c r="O92" s="62"/>
    </row>
    <row r="93" ht="15.75" customHeight="1">
      <c r="F93" s="62"/>
      <c r="H93" s="62"/>
      <c r="I93" s="62"/>
      <c r="M93" s="62"/>
      <c r="O93" s="62"/>
    </row>
    <row r="94" ht="15.75" customHeight="1">
      <c r="F94" s="62"/>
      <c r="H94" s="62"/>
      <c r="I94" s="62"/>
      <c r="M94" s="62"/>
      <c r="O94" s="62"/>
    </row>
    <row r="95" ht="15.75" customHeight="1">
      <c r="F95" s="62"/>
      <c r="H95" s="62"/>
      <c r="I95" s="62"/>
      <c r="M95" s="62"/>
      <c r="O95" s="62"/>
    </row>
    <row r="96" ht="15.75" customHeight="1">
      <c r="F96" s="62"/>
      <c r="H96" s="62"/>
      <c r="I96" s="62"/>
      <c r="M96" s="62"/>
      <c r="O96" s="62"/>
    </row>
    <row r="97" ht="15.75" customHeight="1">
      <c r="F97" s="62"/>
      <c r="H97" s="62"/>
      <c r="I97" s="62"/>
      <c r="M97" s="62"/>
      <c r="O97" s="62"/>
    </row>
    <row r="98" ht="15.75" customHeight="1">
      <c r="F98" s="62"/>
      <c r="H98" s="62"/>
      <c r="I98" s="62"/>
      <c r="M98" s="62"/>
      <c r="O98" s="62"/>
    </row>
    <row r="99" ht="15.75" customHeight="1">
      <c r="F99" s="62"/>
      <c r="H99" s="62"/>
      <c r="I99" s="62"/>
      <c r="M99" s="62"/>
      <c r="O99" s="62"/>
    </row>
    <row r="100" ht="15.75" customHeight="1">
      <c r="F100" s="62"/>
      <c r="H100" s="62"/>
      <c r="I100" s="62"/>
      <c r="M100" s="62"/>
      <c r="O100" s="62"/>
    </row>
    <row r="101" ht="15.75" customHeight="1">
      <c r="F101" s="62"/>
      <c r="H101" s="62"/>
      <c r="I101" s="62"/>
      <c r="M101" s="62"/>
      <c r="O101" s="62"/>
    </row>
    <row r="102" ht="15.75" customHeight="1">
      <c r="F102" s="62"/>
      <c r="H102" s="62"/>
      <c r="I102" s="62"/>
      <c r="M102" s="62"/>
      <c r="O102" s="62"/>
    </row>
    <row r="103" ht="15.75" customHeight="1">
      <c r="F103" s="62"/>
      <c r="H103" s="62"/>
      <c r="I103" s="62"/>
      <c r="M103" s="62"/>
      <c r="O103" s="62"/>
    </row>
    <row r="104" ht="15.75" customHeight="1">
      <c r="F104" s="62"/>
      <c r="H104" s="62"/>
      <c r="I104" s="62"/>
      <c r="M104" s="62"/>
      <c r="O104" s="62"/>
    </row>
    <row r="105" ht="15.75" customHeight="1">
      <c r="F105" s="62"/>
      <c r="H105" s="62"/>
      <c r="I105" s="62"/>
      <c r="M105" s="62"/>
      <c r="O105" s="62"/>
    </row>
    <row r="106" ht="15.75" customHeight="1">
      <c r="F106" s="62"/>
      <c r="H106" s="62"/>
      <c r="I106" s="62"/>
      <c r="M106" s="62"/>
      <c r="O106" s="62"/>
    </row>
    <row r="107" ht="15.75" customHeight="1">
      <c r="F107" s="62"/>
      <c r="H107" s="62"/>
      <c r="I107" s="62"/>
      <c r="M107" s="62"/>
      <c r="O107" s="62"/>
    </row>
    <row r="108" ht="15.75" customHeight="1">
      <c r="F108" s="62"/>
      <c r="H108" s="62"/>
      <c r="I108" s="62"/>
      <c r="M108" s="62"/>
      <c r="O108" s="62"/>
    </row>
    <row r="109" ht="15.75" customHeight="1">
      <c r="F109" s="62"/>
      <c r="H109" s="62"/>
      <c r="I109" s="62"/>
      <c r="M109" s="62"/>
      <c r="O109" s="62"/>
    </row>
    <row r="110" ht="15.75" customHeight="1">
      <c r="F110" s="62"/>
      <c r="H110" s="62"/>
      <c r="I110" s="62"/>
      <c r="M110" s="62"/>
      <c r="O110" s="62"/>
    </row>
    <row r="111" ht="15.75" customHeight="1">
      <c r="F111" s="62"/>
      <c r="H111" s="62"/>
      <c r="I111" s="62"/>
      <c r="M111" s="62"/>
      <c r="O111" s="62"/>
    </row>
    <row r="112" ht="15.75" customHeight="1">
      <c r="F112" s="62"/>
      <c r="H112" s="62"/>
      <c r="I112" s="62"/>
      <c r="M112" s="62"/>
      <c r="O112" s="62"/>
    </row>
    <row r="113" ht="15.75" customHeight="1">
      <c r="F113" s="62"/>
      <c r="H113" s="62"/>
      <c r="I113" s="62"/>
      <c r="M113" s="62"/>
      <c r="O113" s="62"/>
    </row>
    <row r="114" ht="15.75" customHeight="1">
      <c r="F114" s="62"/>
      <c r="H114" s="62"/>
      <c r="I114" s="62"/>
      <c r="M114" s="62"/>
      <c r="O114" s="62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18"/>
  <conditionalFormatting sqref="F5:F1000">
    <cfRule type="expression" dxfId="0" priority="1">
      <formula>OR(F5="Zusage",F5="Terminiert",F5="Durchgeführt")</formula>
    </cfRule>
  </conditionalFormatting>
  <conditionalFormatting sqref="F5:F1000">
    <cfRule type="cellIs" dxfId="1" priority="2" operator="equal">
      <formula>"Absage"</formula>
    </cfRule>
  </conditionalFormatting>
  <dataValidations>
    <dataValidation type="list" allowBlank="1" sqref="F5:F114">
      <formula1>"Kontaktiert,Nachfragen,Zusage,Terminiert,Durchgeführt,Abgeschlossen,Absage"</formula1>
    </dataValidation>
    <dataValidation type="list" allowBlank="1" sqref="H5:I114">
      <formula1>"Andreas Braxmeier,Nadine Beha,Sophie Scheffler,Ragavi Anusujantha,Nina Ludwig"</formula1>
    </dataValidation>
    <dataValidation type="list" allowBlank="1" sqref="M5:M114">
      <formula1>"Zoom,Präsenz,Telefon,Teams,Sonstiges"</formula1>
    </dataValidation>
    <dataValidation type="list" allowBlank="1" sqref="O5:O114">
      <formula1>"Bedarfsanalyse,Versorgungslage,Kooperationen,Prävention,Zugangsbarrieren,Best Practices,Zukunftswünsche,Sonstiges"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3" width="20.0"/>
    <col customWidth="1" min="4" max="4" width="35.0"/>
    <col customWidth="1" min="5" max="7" width="20.0"/>
    <col customWidth="1" min="8" max="9" width="25.0"/>
    <col customWidth="1" min="10" max="13" width="20.0"/>
    <col customWidth="1" min="14" max="14" width="30.0"/>
    <col customWidth="1" min="15" max="15" width="40.0"/>
    <col customWidth="1" min="16" max="16" width="20.0"/>
    <col customWidth="1" min="17" max="26" width="8.71"/>
  </cols>
  <sheetData>
    <row r="1">
      <c r="A1" s="2" t="s">
        <v>745</v>
      </c>
      <c r="B1" s="62" t="s">
        <v>744</v>
      </c>
    </row>
    <row r="4">
      <c r="A4" s="64" t="s">
        <v>7</v>
      </c>
      <c r="B4" s="64" t="s">
        <v>73</v>
      </c>
      <c r="C4" s="64" t="s">
        <v>9</v>
      </c>
      <c r="D4" s="64" t="s">
        <v>76</v>
      </c>
      <c r="E4" s="64" t="s">
        <v>613</v>
      </c>
      <c r="F4" s="64" t="s">
        <v>5</v>
      </c>
      <c r="G4" s="64" t="s">
        <v>75</v>
      </c>
      <c r="H4" s="64" t="s">
        <v>614</v>
      </c>
      <c r="I4" s="64" t="s">
        <v>615</v>
      </c>
      <c r="J4" s="64" t="s">
        <v>616</v>
      </c>
      <c r="K4" s="64" t="s">
        <v>617</v>
      </c>
      <c r="L4" s="64" t="s">
        <v>618</v>
      </c>
      <c r="M4" s="64" t="s">
        <v>619</v>
      </c>
      <c r="N4" s="64" t="s">
        <v>620</v>
      </c>
      <c r="O4" s="64" t="s">
        <v>621</v>
      </c>
      <c r="P4" s="64" t="s">
        <v>622</v>
      </c>
    </row>
    <row r="5">
      <c r="A5" s="4" t="s">
        <v>676</v>
      </c>
      <c r="B5" s="4" t="s">
        <v>391</v>
      </c>
      <c r="C5" s="4" t="s">
        <v>13</v>
      </c>
      <c r="D5" s="4" t="s">
        <v>677</v>
      </c>
      <c r="E5" s="4" t="s">
        <v>678</v>
      </c>
      <c r="F5" s="4"/>
      <c r="G5" s="4"/>
      <c r="H5" s="4"/>
      <c r="I5" s="4"/>
      <c r="J5" s="66"/>
      <c r="K5" s="67"/>
      <c r="L5" s="68"/>
      <c r="M5" s="4"/>
      <c r="N5" s="4"/>
      <c r="O5" s="4"/>
      <c r="P5" s="4"/>
    </row>
    <row r="6">
      <c r="A6" s="4" t="s">
        <v>679</v>
      </c>
      <c r="B6" s="4" t="s">
        <v>14</v>
      </c>
      <c r="C6" s="4" t="s">
        <v>32</v>
      </c>
      <c r="D6" s="4" t="s">
        <v>680</v>
      </c>
      <c r="E6" s="4" t="s">
        <v>678</v>
      </c>
      <c r="F6" s="4"/>
      <c r="G6" s="4"/>
      <c r="H6" s="4"/>
      <c r="I6" s="4"/>
      <c r="J6" s="66"/>
      <c r="K6" s="67"/>
      <c r="L6" s="68"/>
      <c r="M6" s="4"/>
      <c r="N6" s="4"/>
      <c r="O6" s="4"/>
      <c r="P6" s="4"/>
    </row>
    <row r="7">
      <c r="A7" s="4" t="s">
        <v>681</v>
      </c>
      <c r="B7" s="4" t="s">
        <v>14</v>
      </c>
      <c r="C7" s="4" t="s">
        <v>470</v>
      </c>
      <c r="D7" s="4" t="s">
        <v>682</v>
      </c>
      <c r="E7" s="4" t="s">
        <v>678</v>
      </c>
      <c r="F7" s="4"/>
      <c r="G7" s="4"/>
      <c r="H7" s="4"/>
      <c r="I7" s="4"/>
      <c r="J7" s="66"/>
      <c r="K7" s="67"/>
      <c r="L7" s="68"/>
      <c r="M7" s="4"/>
      <c r="N7" s="4"/>
      <c r="O7" s="4"/>
      <c r="P7" s="4"/>
    </row>
    <row r="8">
      <c r="A8" s="4" t="s">
        <v>683</v>
      </c>
      <c r="B8" s="4" t="s">
        <v>14</v>
      </c>
      <c r="C8" s="4" t="s">
        <v>153</v>
      </c>
      <c r="D8" s="4" t="s">
        <v>684</v>
      </c>
      <c r="E8" s="4" t="s">
        <v>678</v>
      </c>
      <c r="F8" s="4"/>
      <c r="G8" s="4"/>
      <c r="H8" s="4"/>
      <c r="I8" s="4"/>
      <c r="J8" s="66"/>
      <c r="K8" s="67"/>
      <c r="L8" s="68"/>
      <c r="M8" s="4"/>
      <c r="N8" s="4"/>
      <c r="O8" s="4"/>
      <c r="P8" s="4"/>
    </row>
    <row r="9">
      <c r="A9" s="4" t="s">
        <v>685</v>
      </c>
      <c r="B9" s="4" t="s">
        <v>430</v>
      </c>
      <c r="C9" s="4" t="s">
        <v>686</v>
      </c>
      <c r="D9" s="4" t="s">
        <v>687</v>
      </c>
      <c r="E9" s="4" t="s">
        <v>678</v>
      </c>
      <c r="F9" s="4"/>
      <c r="G9" s="4"/>
      <c r="H9" s="4"/>
      <c r="I9" s="4"/>
      <c r="J9" s="66"/>
      <c r="K9" s="67"/>
      <c r="L9" s="68"/>
      <c r="M9" s="4"/>
      <c r="N9" s="4"/>
      <c r="O9" s="4"/>
      <c r="P9" s="4"/>
    </row>
    <row r="10">
      <c r="A10" s="4" t="s">
        <v>688</v>
      </c>
      <c r="B10" s="4" t="s">
        <v>14</v>
      </c>
      <c r="C10" s="4" t="s">
        <v>180</v>
      </c>
      <c r="D10" s="4" t="s">
        <v>689</v>
      </c>
      <c r="E10" s="4" t="s">
        <v>678</v>
      </c>
      <c r="F10" s="4"/>
      <c r="G10" s="4"/>
      <c r="H10" s="4"/>
      <c r="I10" s="4"/>
      <c r="J10" s="66"/>
      <c r="K10" s="67"/>
      <c r="L10" s="68"/>
      <c r="M10" s="4"/>
      <c r="N10" s="4"/>
      <c r="O10" s="4"/>
      <c r="P10" s="4"/>
    </row>
    <row r="11">
      <c r="A11" s="4" t="s">
        <v>690</v>
      </c>
      <c r="B11" s="4" t="s">
        <v>14</v>
      </c>
      <c r="C11" s="4" t="s">
        <v>32</v>
      </c>
      <c r="D11" s="4" t="s">
        <v>680</v>
      </c>
      <c r="E11" s="4" t="s">
        <v>678</v>
      </c>
      <c r="F11" s="4"/>
      <c r="G11" s="4"/>
      <c r="H11" s="4"/>
      <c r="I11" s="4"/>
      <c r="J11" s="66"/>
      <c r="K11" s="67"/>
      <c r="L11" s="68"/>
      <c r="M11" s="4"/>
      <c r="N11" s="4"/>
      <c r="O11" s="4"/>
      <c r="P11" s="4"/>
    </row>
    <row r="12">
      <c r="A12" s="4" t="s">
        <v>691</v>
      </c>
      <c r="B12" s="4" t="s">
        <v>26</v>
      </c>
      <c r="C12" s="4" t="s">
        <v>25</v>
      </c>
      <c r="D12" s="4" t="s">
        <v>692</v>
      </c>
      <c r="E12" s="4" t="s">
        <v>678</v>
      </c>
      <c r="F12" s="4"/>
      <c r="G12" s="4"/>
      <c r="H12" s="4"/>
      <c r="I12" s="4"/>
      <c r="J12" s="66"/>
      <c r="K12" s="67"/>
      <c r="L12" s="68"/>
      <c r="M12" s="4"/>
      <c r="N12" s="4"/>
      <c r="O12" s="4"/>
      <c r="P12" s="4"/>
    </row>
    <row r="13">
      <c r="A13" s="4" t="s">
        <v>693</v>
      </c>
      <c r="B13" s="4" t="s">
        <v>36</v>
      </c>
      <c r="C13" s="4" t="s">
        <v>29</v>
      </c>
      <c r="D13" s="4" t="s">
        <v>228</v>
      </c>
      <c r="E13" s="4" t="s">
        <v>678</v>
      </c>
      <c r="F13" s="4"/>
      <c r="G13" s="4"/>
      <c r="H13" s="4"/>
      <c r="I13" s="4"/>
      <c r="J13" s="66"/>
      <c r="K13" s="67"/>
      <c r="L13" s="68"/>
      <c r="M13" s="4"/>
      <c r="N13" s="4"/>
      <c r="O13" s="4"/>
      <c r="P13" s="4"/>
    </row>
    <row r="14">
      <c r="A14" s="4" t="s">
        <v>694</v>
      </c>
      <c r="B14" s="4" t="s">
        <v>14</v>
      </c>
      <c r="C14" s="4" t="s">
        <v>207</v>
      </c>
      <c r="D14" s="4" t="s">
        <v>695</v>
      </c>
      <c r="E14" s="4" t="s">
        <v>678</v>
      </c>
      <c r="F14" s="4"/>
      <c r="G14" s="4"/>
      <c r="H14" s="4"/>
      <c r="I14" s="4"/>
      <c r="J14" s="66"/>
      <c r="K14" s="67"/>
      <c r="L14" s="68"/>
      <c r="M14" s="4"/>
      <c r="N14" s="4"/>
      <c r="O14" s="4"/>
      <c r="P14" s="4"/>
    </row>
    <row r="15">
      <c r="A15" s="4" t="s">
        <v>696</v>
      </c>
      <c r="B15" s="4" t="s">
        <v>18</v>
      </c>
      <c r="C15" s="4" t="s">
        <v>21</v>
      </c>
      <c r="D15" s="4" t="s">
        <v>697</v>
      </c>
      <c r="E15" s="4" t="s">
        <v>678</v>
      </c>
      <c r="F15" s="4"/>
      <c r="G15" s="4"/>
      <c r="H15" s="4"/>
      <c r="I15" s="4"/>
      <c r="J15" s="66"/>
      <c r="K15" s="67"/>
      <c r="L15" s="68"/>
      <c r="M15" s="4"/>
      <c r="N15" s="4"/>
      <c r="O15" s="4"/>
      <c r="P15" s="4"/>
    </row>
    <row r="16">
      <c r="A16" s="4" t="s">
        <v>698</v>
      </c>
      <c r="B16" s="4" t="s">
        <v>18</v>
      </c>
      <c r="C16" s="4" t="s">
        <v>21</v>
      </c>
      <c r="D16" s="4" t="s">
        <v>699</v>
      </c>
      <c r="E16" s="4" t="s">
        <v>678</v>
      </c>
      <c r="F16" s="4"/>
      <c r="G16" s="4"/>
      <c r="H16" s="4"/>
      <c r="I16" s="4"/>
      <c r="J16" s="66"/>
      <c r="K16" s="67"/>
      <c r="L16" s="68"/>
      <c r="M16" s="4"/>
      <c r="N16" s="4"/>
      <c r="O16" s="4"/>
      <c r="P16" s="4"/>
    </row>
    <row r="17">
      <c r="A17" s="4" t="s">
        <v>475</v>
      </c>
      <c r="B17" s="4" t="s">
        <v>14</v>
      </c>
      <c r="C17" s="4" t="s">
        <v>25</v>
      </c>
      <c r="D17" s="4" t="s">
        <v>478</v>
      </c>
      <c r="E17" s="4" t="s">
        <v>678</v>
      </c>
      <c r="F17" s="4"/>
      <c r="G17" s="4"/>
      <c r="H17" s="4"/>
      <c r="I17" s="4"/>
      <c r="J17" s="66"/>
      <c r="K17" s="67"/>
      <c r="L17" s="68"/>
      <c r="M17" s="4"/>
      <c r="N17" s="4"/>
      <c r="O17" s="4"/>
      <c r="P17" s="4"/>
    </row>
    <row r="18">
      <c r="A18" s="4" t="s">
        <v>700</v>
      </c>
      <c r="B18" s="4" t="s">
        <v>14</v>
      </c>
      <c r="C18" s="4" t="s">
        <v>32</v>
      </c>
      <c r="D18" s="4" t="s">
        <v>680</v>
      </c>
      <c r="E18" s="4" t="s">
        <v>678</v>
      </c>
      <c r="F18" s="4"/>
      <c r="G18" s="4"/>
      <c r="H18" s="4"/>
      <c r="I18" s="4"/>
      <c r="J18" s="66"/>
      <c r="K18" s="67"/>
      <c r="L18" s="68"/>
      <c r="M18" s="4"/>
      <c r="N18" s="4"/>
      <c r="O18" s="4"/>
      <c r="P18" s="4"/>
    </row>
    <row r="19">
      <c r="F19" s="62"/>
      <c r="H19" s="62"/>
      <c r="I19" s="62"/>
      <c r="M19" s="62"/>
      <c r="O19" s="62"/>
    </row>
    <row r="20">
      <c r="F20" s="62"/>
      <c r="H20" s="62"/>
      <c r="I20" s="62"/>
      <c r="M20" s="62"/>
      <c r="O20" s="62"/>
    </row>
    <row r="21" ht="15.75" customHeight="1">
      <c r="F21" s="62"/>
      <c r="H21" s="62"/>
      <c r="I21" s="62"/>
      <c r="M21" s="62"/>
      <c r="O21" s="62"/>
    </row>
    <row r="22" ht="15.75" customHeight="1">
      <c r="F22" s="62"/>
      <c r="H22" s="62"/>
      <c r="I22" s="62"/>
      <c r="M22" s="62"/>
      <c r="O22" s="62"/>
    </row>
    <row r="23" ht="15.75" customHeight="1">
      <c r="F23" s="62"/>
      <c r="H23" s="62"/>
      <c r="I23" s="62"/>
      <c r="M23" s="62"/>
      <c r="O23" s="62"/>
    </row>
    <row r="24" ht="15.75" customHeight="1">
      <c r="F24" s="62"/>
      <c r="H24" s="62"/>
      <c r="I24" s="62"/>
      <c r="M24" s="62"/>
      <c r="O24" s="62"/>
    </row>
    <row r="25" ht="15.75" customHeight="1">
      <c r="F25" s="62"/>
      <c r="H25" s="62"/>
      <c r="I25" s="62"/>
      <c r="M25" s="62"/>
      <c r="O25" s="62"/>
    </row>
    <row r="26" ht="15.75" customHeight="1">
      <c r="F26" s="62"/>
      <c r="H26" s="62"/>
      <c r="I26" s="62"/>
      <c r="M26" s="62"/>
      <c r="O26" s="62"/>
    </row>
    <row r="27" ht="15.75" customHeight="1">
      <c r="F27" s="62"/>
      <c r="H27" s="62"/>
      <c r="I27" s="62"/>
      <c r="M27" s="62"/>
      <c r="O27" s="62"/>
    </row>
    <row r="28" ht="15.75" customHeight="1">
      <c r="F28" s="62"/>
      <c r="H28" s="62"/>
      <c r="I28" s="62"/>
      <c r="M28" s="62"/>
      <c r="O28" s="62"/>
    </row>
    <row r="29" ht="15.75" customHeight="1">
      <c r="F29" s="62"/>
      <c r="H29" s="62"/>
      <c r="I29" s="62"/>
      <c r="M29" s="62"/>
      <c r="O29" s="62"/>
    </row>
    <row r="30" ht="15.75" customHeight="1">
      <c r="F30" s="62"/>
      <c r="H30" s="62"/>
      <c r="I30" s="62"/>
      <c r="M30" s="62"/>
      <c r="O30" s="62"/>
    </row>
    <row r="31" ht="15.75" customHeight="1">
      <c r="F31" s="62"/>
      <c r="H31" s="62"/>
      <c r="I31" s="62"/>
      <c r="M31" s="62"/>
      <c r="O31" s="62"/>
    </row>
    <row r="32" ht="15.75" customHeight="1">
      <c r="F32" s="62"/>
      <c r="H32" s="62"/>
      <c r="I32" s="62"/>
      <c r="M32" s="62"/>
      <c r="O32" s="62"/>
    </row>
    <row r="33" ht="15.75" customHeight="1">
      <c r="F33" s="62"/>
      <c r="H33" s="62"/>
      <c r="I33" s="62"/>
      <c r="M33" s="62"/>
      <c r="O33" s="62"/>
    </row>
    <row r="34" ht="15.75" customHeight="1">
      <c r="F34" s="62"/>
      <c r="H34" s="62"/>
      <c r="I34" s="62"/>
      <c r="M34" s="62"/>
      <c r="O34" s="62"/>
    </row>
    <row r="35" ht="15.75" customHeight="1">
      <c r="F35" s="62"/>
      <c r="H35" s="62"/>
      <c r="I35" s="62"/>
      <c r="M35" s="62"/>
      <c r="O35" s="62"/>
    </row>
    <row r="36" ht="15.75" customHeight="1">
      <c r="F36" s="62"/>
      <c r="H36" s="62"/>
      <c r="I36" s="62"/>
      <c r="M36" s="62"/>
      <c r="O36" s="62"/>
    </row>
    <row r="37" ht="15.75" customHeight="1">
      <c r="F37" s="62"/>
      <c r="H37" s="62"/>
      <c r="I37" s="62"/>
      <c r="M37" s="62"/>
      <c r="O37" s="62"/>
    </row>
    <row r="38" ht="15.75" customHeight="1">
      <c r="F38" s="62"/>
      <c r="H38" s="62"/>
      <c r="I38" s="62"/>
      <c r="M38" s="62"/>
      <c r="O38" s="62"/>
    </row>
    <row r="39" ht="15.75" customHeight="1">
      <c r="F39" s="62"/>
      <c r="H39" s="62"/>
      <c r="I39" s="62"/>
      <c r="M39" s="62"/>
      <c r="O39" s="62"/>
    </row>
    <row r="40" ht="15.75" customHeight="1">
      <c r="F40" s="62"/>
      <c r="H40" s="62"/>
      <c r="I40" s="62"/>
      <c r="M40" s="62"/>
      <c r="O40" s="62"/>
    </row>
    <row r="41" ht="15.75" customHeight="1">
      <c r="F41" s="62"/>
      <c r="H41" s="62"/>
      <c r="I41" s="62"/>
      <c r="M41" s="62"/>
      <c r="O41" s="62"/>
    </row>
    <row r="42" ht="15.75" customHeight="1">
      <c r="F42" s="62"/>
      <c r="H42" s="62"/>
      <c r="I42" s="62"/>
      <c r="M42" s="62"/>
      <c r="O42" s="62"/>
    </row>
    <row r="43" ht="15.75" customHeight="1">
      <c r="F43" s="62"/>
      <c r="H43" s="62"/>
      <c r="I43" s="62"/>
      <c r="M43" s="62"/>
      <c r="O43" s="62"/>
    </row>
    <row r="44" ht="15.75" customHeight="1">
      <c r="F44" s="62"/>
      <c r="H44" s="62"/>
      <c r="I44" s="62"/>
      <c r="M44" s="62"/>
      <c r="O44" s="62"/>
    </row>
    <row r="45" ht="15.75" customHeight="1">
      <c r="F45" s="62"/>
      <c r="H45" s="62"/>
      <c r="I45" s="62"/>
      <c r="M45" s="62"/>
      <c r="O45" s="62"/>
    </row>
    <row r="46" ht="15.75" customHeight="1">
      <c r="F46" s="62"/>
      <c r="H46" s="62"/>
      <c r="I46" s="62"/>
      <c r="M46" s="62"/>
      <c r="O46" s="62"/>
    </row>
    <row r="47" ht="15.75" customHeight="1">
      <c r="F47" s="62"/>
      <c r="H47" s="62"/>
      <c r="I47" s="62"/>
      <c r="M47" s="62"/>
      <c r="O47" s="62"/>
    </row>
    <row r="48" ht="15.75" customHeight="1">
      <c r="F48" s="62"/>
      <c r="H48" s="62"/>
      <c r="I48" s="62"/>
      <c r="M48" s="62"/>
      <c r="O48" s="62"/>
    </row>
    <row r="49" ht="15.75" customHeight="1">
      <c r="F49" s="62"/>
      <c r="H49" s="62"/>
      <c r="I49" s="62"/>
      <c r="M49" s="62"/>
      <c r="O49" s="62"/>
    </row>
    <row r="50" ht="15.75" customHeight="1">
      <c r="F50" s="62"/>
      <c r="H50" s="62"/>
      <c r="I50" s="62"/>
      <c r="M50" s="62"/>
      <c r="O50" s="62"/>
    </row>
    <row r="51" ht="15.75" customHeight="1">
      <c r="F51" s="62"/>
      <c r="H51" s="62"/>
      <c r="I51" s="62"/>
      <c r="M51" s="62"/>
      <c r="O51" s="62"/>
    </row>
    <row r="52" ht="15.75" customHeight="1">
      <c r="F52" s="62"/>
      <c r="H52" s="62"/>
      <c r="I52" s="62"/>
      <c r="M52" s="62"/>
      <c r="O52" s="62"/>
    </row>
    <row r="53" ht="15.75" customHeight="1">
      <c r="F53" s="62"/>
      <c r="H53" s="62"/>
      <c r="I53" s="62"/>
      <c r="M53" s="62"/>
      <c r="O53" s="62"/>
    </row>
    <row r="54" ht="15.75" customHeight="1">
      <c r="F54" s="62"/>
      <c r="H54" s="62"/>
      <c r="I54" s="62"/>
      <c r="M54" s="62"/>
      <c r="O54" s="62"/>
    </row>
    <row r="55" ht="15.75" customHeight="1">
      <c r="F55" s="62"/>
      <c r="H55" s="62"/>
      <c r="I55" s="62"/>
      <c r="M55" s="62"/>
      <c r="O55" s="62"/>
    </row>
    <row r="56" ht="15.75" customHeight="1">
      <c r="F56" s="62"/>
      <c r="H56" s="62"/>
      <c r="I56" s="62"/>
      <c r="M56" s="62"/>
      <c r="O56" s="62"/>
    </row>
    <row r="57" ht="15.75" customHeight="1">
      <c r="F57" s="62"/>
      <c r="H57" s="62"/>
      <c r="I57" s="62"/>
      <c r="M57" s="62"/>
      <c r="O57" s="62"/>
    </row>
    <row r="58" ht="15.75" customHeight="1">
      <c r="F58" s="62"/>
      <c r="H58" s="62"/>
      <c r="I58" s="62"/>
      <c r="M58" s="62"/>
      <c r="O58" s="62"/>
    </row>
    <row r="59" ht="15.75" customHeight="1">
      <c r="F59" s="62"/>
      <c r="H59" s="62"/>
      <c r="I59" s="62"/>
      <c r="M59" s="62"/>
      <c r="O59" s="62"/>
    </row>
    <row r="60" ht="15.75" customHeight="1">
      <c r="F60" s="62"/>
      <c r="H60" s="62"/>
      <c r="I60" s="62"/>
      <c r="M60" s="62"/>
      <c r="O60" s="62"/>
    </row>
    <row r="61" ht="15.75" customHeight="1">
      <c r="F61" s="62"/>
      <c r="H61" s="62"/>
      <c r="I61" s="62"/>
      <c r="M61" s="62"/>
      <c r="O61" s="62"/>
    </row>
    <row r="62" ht="15.75" customHeight="1">
      <c r="F62" s="62"/>
      <c r="H62" s="62"/>
      <c r="I62" s="62"/>
      <c r="M62" s="62"/>
      <c r="O62" s="62"/>
    </row>
    <row r="63" ht="15.75" customHeight="1">
      <c r="F63" s="62"/>
      <c r="H63" s="62"/>
      <c r="I63" s="62"/>
      <c r="M63" s="62"/>
      <c r="O63" s="62"/>
    </row>
    <row r="64" ht="15.75" customHeight="1">
      <c r="F64" s="62"/>
      <c r="H64" s="62"/>
      <c r="I64" s="62"/>
      <c r="M64" s="62"/>
      <c r="O64" s="62"/>
    </row>
    <row r="65" ht="15.75" customHeight="1">
      <c r="F65" s="62"/>
      <c r="H65" s="62"/>
      <c r="I65" s="62"/>
      <c r="M65" s="62"/>
      <c r="O65" s="62"/>
    </row>
    <row r="66" ht="15.75" customHeight="1">
      <c r="F66" s="62"/>
      <c r="H66" s="62"/>
      <c r="I66" s="62"/>
      <c r="M66" s="62"/>
      <c r="O66" s="62"/>
    </row>
    <row r="67" ht="15.75" customHeight="1">
      <c r="F67" s="62"/>
      <c r="H67" s="62"/>
      <c r="I67" s="62"/>
      <c r="M67" s="62"/>
      <c r="O67" s="62"/>
    </row>
    <row r="68" ht="15.75" customHeight="1">
      <c r="F68" s="62"/>
      <c r="H68" s="62"/>
      <c r="I68" s="62"/>
      <c r="M68" s="62"/>
      <c r="O68" s="62"/>
    </row>
    <row r="69" ht="15.75" customHeight="1">
      <c r="F69" s="62"/>
      <c r="H69" s="62"/>
      <c r="I69" s="62"/>
      <c r="M69" s="62"/>
      <c r="O69" s="62"/>
    </row>
    <row r="70" ht="15.75" customHeight="1">
      <c r="F70" s="62"/>
      <c r="H70" s="62"/>
      <c r="I70" s="62"/>
      <c r="M70" s="62"/>
      <c r="O70" s="62"/>
    </row>
    <row r="71" ht="15.75" customHeight="1">
      <c r="F71" s="62"/>
      <c r="H71" s="62"/>
      <c r="I71" s="62"/>
      <c r="M71" s="62"/>
      <c r="O71" s="62"/>
    </row>
    <row r="72" ht="15.75" customHeight="1">
      <c r="F72" s="62"/>
      <c r="H72" s="62"/>
      <c r="I72" s="62"/>
      <c r="M72" s="62"/>
      <c r="O72" s="62"/>
    </row>
    <row r="73" ht="15.75" customHeight="1">
      <c r="F73" s="62"/>
      <c r="H73" s="62"/>
      <c r="I73" s="62"/>
      <c r="M73" s="62"/>
      <c r="O73" s="62"/>
    </row>
    <row r="74" ht="15.75" customHeight="1">
      <c r="F74" s="62"/>
      <c r="H74" s="62"/>
      <c r="I74" s="62"/>
      <c r="M74" s="62"/>
      <c r="O74" s="62"/>
    </row>
    <row r="75" ht="15.75" customHeight="1">
      <c r="F75" s="62"/>
      <c r="H75" s="62"/>
      <c r="I75" s="62"/>
      <c r="M75" s="62"/>
      <c r="O75" s="62"/>
    </row>
    <row r="76" ht="15.75" customHeight="1">
      <c r="F76" s="62"/>
      <c r="H76" s="62"/>
      <c r="I76" s="62"/>
      <c r="M76" s="62"/>
      <c r="O76" s="62"/>
    </row>
    <row r="77" ht="15.75" customHeight="1">
      <c r="F77" s="62"/>
      <c r="H77" s="62"/>
      <c r="I77" s="62"/>
      <c r="M77" s="62"/>
      <c r="O77" s="62"/>
    </row>
    <row r="78" ht="15.75" customHeight="1">
      <c r="F78" s="62"/>
      <c r="H78" s="62"/>
      <c r="I78" s="62"/>
      <c r="M78" s="62"/>
      <c r="O78" s="62"/>
    </row>
    <row r="79" ht="15.75" customHeight="1">
      <c r="F79" s="62"/>
      <c r="H79" s="62"/>
      <c r="I79" s="62"/>
      <c r="M79" s="62"/>
      <c r="O79" s="62"/>
    </row>
    <row r="80" ht="15.75" customHeight="1">
      <c r="F80" s="62"/>
      <c r="H80" s="62"/>
      <c r="I80" s="62"/>
      <c r="M80" s="62"/>
      <c r="O80" s="62"/>
    </row>
    <row r="81" ht="15.75" customHeight="1">
      <c r="F81" s="62"/>
      <c r="H81" s="62"/>
      <c r="I81" s="62"/>
      <c r="M81" s="62"/>
      <c r="O81" s="62"/>
    </row>
    <row r="82" ht="15.75" customHeight="1">
      <c r="F82" s="62"/>
      <c r="H82" s="62"/>
      <c r="I82" s="62"/>
      <c r="M82" s="62"/>
      <c r="O82" s="62"/>
    </row>
    <row r="83" ht="15.75" customHeight="1">
      <c r="F83" s="62"/>
      <c r="H83" s="62"/>
      <c r="I83" s="62"/>
      <c r="M83" s="62"/>
      <c r="O83" s="62"/>
    </row>
    <row r="84" ht="15.75" customHeight="1">
      <c r="F84" s="62"/>
      <c r="H84" s="62"/>
      <c r="I84" s="62"/>
      <c r="M84" s="62"/>
      <c r="O84" s="62"/>
    </row>
    <row r="85" ht="15.75" customHeight="1">
      <c r="F85" s="62"/>
      <c r="H85" s="62"/>
      <c r="I85" s="62"/>
      <c r="M85" s="62"/>
      <c r="O85" s="62"/>
    </row>
    <row r="86" ht="15.75" customHeight="1">
      <c r="F86" s="62"/>
      <c r="H86" s="62"/>
      <c r="I86" s="62"/>
      <c r="M86" s="62"/>
      <c r="O86" s="62"/>
    </row>
    <row r="87" ht="15.75" customHeight="1">
      <c r="F87" s="62"/>
      <c r="H87" s="62"/>
      <c r="I87" s="62"/>
      <c r="M87" s="62"/>
      <c r="O87" s="62"/>
    </row>
    <row r="88" ht="15.75" customHeight="1">
      <c r="F88" s="62"/>
      <c r="H88" s="62"/>
      <c r="I88" s="62"/>
      <c r="M88" s="62"/>
      <c r="O88" s="62"/>
    </row>
    <row r="89" ht="15.75" customHeight="1">
      <c r="F89" s="62"/>
      <c r="H89" s="62"/>
      <c r="I89" s="62"/>
      <c r="M89" s="62"/>
      <c r="O89" s="62"/>
    </row>
    <row r="90" ht="15.75" customHeight="1">
      <c r="F90" s="62"/>
      <c r="H90" s="62"/>
      <c r="I90" s="62"/>
      <c r="M90" s="62"/>
      <c r="O90" s="62"/>
    </row>
    <row r="91" ht="15.75" customHeight="1">
      <c r="F91" s="62"/>
      <c r="H91" s="62"/>
      <c r="I91" s="62"/>
      <c r="M91" s="62"/>
      <c r="O91" s="62"/>
    </row>
    <row r="92" ht="15.75" customHeight="1">
      <c r="F92" s="62"/>
      <c r="H92" s="62"/>
      <c r="I92" s="62"/>
      <c r="M92" s="62"/>
      <c r="O92" s="62"/>
    </row>
    <row r="93" ht="15.75" customHeight="1">
      <c r="F93" s="62"/>
      <c r="H93" s="62"/>
      <c r="I93" s="62"/>
      <c r="M93" s="62"/>
      <c r="O93" s="62"/>
    </row>
    <row r="94" ht="15.75" customHeight="1">
      <c r="F94" s="62"/>
      <c r="H94" s="62"/>
      <c r="I94" s="62"/>
      <c r="M94" s="62"/>
      <c r="O94" s="62"/>
    </row>
    <row r="95" ht="15.75" customHeight="1">
      <c r="F95" s="62"/>
      <c r="H95" s="62"/>
      <c r="I95" s="62"/>
      <c r="M95" s="62"/>
      <c r="O95" s="62"/>
    </row>
    <row r="96" ht="15.75" customHeight="1">
      <c r="F96" s="62"/>
      <c r="H96" s="62"/>
      <c r="I96" s="62"/>
      <c r="M96" s="62"/>
      <c r="O96" s="62"/>
    </row>
    <row r="97" ht="15.75" customHeight="1">
      <c r="F97" s="62"/>
      <c r="H97" s="62"/>
      <c r="I97" s="62"/>
      <c r="M97" s="62"/>
      <c r="O97" s="62"/>
    </row>
    <row r="98" ht="15.75" customHeight="1">
      <c r="F98" s="62"/>
      <c r="H98" s="62"/>
      <c r="I98" s="62"/>
      <c r="M98" s="62"/>
      <c r="O98" s="62"/>
    </row>
    <row r="99" ht="15.75" customHeight="1">
      <c r="F99" s="62"/>
      <c r="H99" s="62"/>
      <c r="I99" s="62"/>
      <c r="M99" s="62"/>
      <c r="O99" s="62"/>
    </row>
    <row r="100" ht="15.75" customHeight="1">
      <c r="F100" s="62"/>
      <c r="H100" s="62"/>
      <c r="I100" s="62"/>
      <c r="M100" s="62"/>
      <c r="O100" s="62"/>
    </row>
    <row r="101" ht="15.75" customHeight="1">
      <c r="F101" s="62"/>
      <c r="H101" s="62"/>
      <c r="I101" s="62"/>
      <c r="M101" s="62"/>
      <c r="O101" s="62"/>
    </row>
    <row r="102" ht="15.75" customHeight="1">
      <c r="F102" s="62"/>
      <c r="H102" s="62"/>
      <c r="I102" s="62"/>
      <c r="M102" s="62"/>
      <c r="O102" s="62"/>
    </row>
    <row r="103" ht="15.75" customHeight="1">
      <c r="F103" s="62"/>
      <c r="H103" s="62"/>
      <c r="I103" s="62"/>
      <c r="M103" s="62"/>
      <c r="O103" s="62"/>
    </row>
    <row r="104" ht="15.75" customHeight="1">
      <c r="F104" s="62"/>
      <c r="H104" s="62"/>
      <c r="I104" s="62"/>
      <c r="M104" s="62"/>
      <c r="O104" s="62"/>
    </row>
    <row r="105" ht="15.75" customHeight="1">
      <c r="F105" s="62"/>
      <c r="H105" s="62"/>
      <c r="I105" s="62"/>
      <c r="M105" s="62"/>
      <c r="O105" s="62"/>
    </row>
    <row r="106" ht="15.75" customHeight="1">
      <c r="F106" s="62"/>
      <c r="H106" s="62"/>
      <c r="I106" s="62"/>
      <c r="M106" s="62"/>
      <c r="O106" s="62"/>
    </row>
    <row r="107" ht="15.75" customHeight="1">
      <c r="F107" s="62"/>
      <c r="H107" s="62"/>
      <c r="I107" s="62"/>
      <c r="M107" s="62"/>
      <c r="O107" s="62"/>
    </row>
    <row r="108" ht="15.75" customHeight="1">
      <c r="F108" s="62"/>
      <c r="H108" s="62"/>
      <c r="I108" s="62"/>
      <c r="M108" s="62"/>
      <c r="O108" s="62"/>
    </row>
    <row r="109" ht="15.75" customHeight="1">
      <c r="F109" s="62"/>
      <c r="H109" s="62"/>
      <c r="I109" s="62"/>
      <c r="M109" s="62"/>
      <c r="O109" s="62"/>
    </row>
    <row r="110" ht="15.75" customHeight="1">
      <c r="F110" s="62"/>
      <c r="H110" s="62"/>
      <c r="I110" s="62"/>
      <c r="M110" s="62"/>
      <c r="O110" s="62"/>
    </row>
    <row r="111" ht="15.75" customHeight="1">
      <c r="F111" s="62"/>
      <c r="H111" s="62"/>
      <c r="I111" s="62"/>
      <c r="M111" s="62"/>
      <c r="O111" s="62"/>
    </row>
    <row r="112" ht="15.75" customHeight="1">
      <c r="F112" s="62"/>
      <c r="H112" s="62"/>
      <c r="I112" s="62"/>
      <c r="M112" s="62"/>
      <c r="O112" s="62"/>
    </row>
    <row r="113" ht="15.75" customHeight="1">
      <c r="F113" s="62"/>
      <c r="H113" s="62"/>
      <c r="I113" s="62"/>
      <c r="M113" s="62"/>
      <c r="O113" s="62"/>
    </row>
    <row r="114" ht="15.75" customHeight="1">
      <c r="F114" s="62"/>
      <c r="H114" s="62"/>
      <c r="I114" s="62"/>
      <c r="M114" s="62"/>
      <c r="O114" s="62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18"/>
  <conditionalFormatting sqref="F5:F1000">
    <cfRule type="expression" dxfId="0" priority="1">
      <formula>OR(F5="Zusage",F5="Terminiert",F5="Durchgeführt")</formula>
    </cfRule>
  </conditionalFormatting>
  <conditionalFormatting sqref="F5:F1000">
    <cfRule type="cellIs" dxfId="1" priority="2" operator="equal">
      <formula>"Absage"</formula>
    </cfRule>
  </conditionalFormatting>
  <dataValidations>
    <dataValidation type="list" allowBlank="1" sqref="F5:F114">
      <formula1>"Kontaktiert,Nachfragen,Zusage,Terminiert,Durchgeführt,Abgeschlossen,Absage"</formula1>
    </dataValidation>
    <dataValidation type="list" allowBlank="1" sqref="H5:I114">
      <formula1>"Andreas Braxmeier,Nadine Beha,Sophie Scheffler,Ragavi Anusujantha,Nina Ludwig"</formula1>
    </dataValidation>
    <dataValidation type="list" allowBlank="1" sqref="M5:M114">
      <formula1>"Zoom,Präsenz,Telefon,Teams,Sonstiges"</formula1>
    </dataValidation>
    <dataValidation type="list" allowBlank="1" sqref="O5:O114">
      <formula1>"Bedarfsanalyse,Versorgungslage,Kooperationen,Prävention,Zugangsbarrieren,Best Practices,Zukunftswünsche,Sonstiges"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3" width="20.0"/>
    <col customWidth="1" min="4" max="4" width="35.0"/>
    <col customWidth="1" min="5" max="7" width="20.0"/>
    <col customWidth="1" min="8" max="9" width="25.0"/>
    <col customWidth="1" min="10" max="13" width="20.0"/>
    <col customWidth="1" min="14" max="14" width="30.0"/>
    <col customWidth="1" min="15" max="15" width="40.0"/>
    <col customWidth="1" min="16" max="16" width="20.0"/>
    <col customWidth="1" min="17" max="26" width="8.71"/>
  </cols>
  <sheetData>
    <row r="1">
      <c r="A1" s="2" t="s">
        <v>746</v>
      </c>
      <c r="B1" s="62" t="s">
        <v>742</v>
      </c>
    </row>
    <row r="4">
      <c r="A4" s="64" t="s">
        <v>7</v>
      </c>
      <c r="B4" s="64" t="s">
        <v>73</v>
      </c>
      <c r="C4" s="64" t="s">
        <v>9</v>
      </c>
      <c r="D4" s="64" t="s">
        <v>76</v>
      </c>
      <c r="E4" s="64" t="s">
        <v>613</v>
      </c>
      <c r="F4" s="64" t="s">
        <v>5</v>
      </c>
      <c r="G4" s="64" t="s">
        <v>75</v>
      </c>
      <c r="H4" s="64" t="s">
        <v>614</v>
      </c>
      <c r="I4" s="64" t="s">
        <v>615</v>
      </c>
      <c r="J4" s="64" t="s">
        <v>616</v>
      </c>
      <c r="K4" s="64" t="s">
        <v>617</v>
      </c>
      <c r="L4" s="64" t="s">
        <v>618</v>
      </c>
      <c r="M4" s="64" t="s">
        <v>619</v>
      </c>
      <c r="N4" s="64" t="s">
        <v>620</v>
      </c>
      <c r="O4" s="64" t="s">
        <v>621</v>
      </c>
      <c r="P4" s="64" t="s">
        <v>622</v>
      </c>
    </row>
    <row r="5">
      <c r="A5" s="4" t="s">
        <v>701</v>
      </c>
      <c r="B5" s="4" t="s">
        <v>22</v>
      </c>
      <c r="C5" s="4" t="s">
        <v>17</v>
      </c>
      <c r="D5" s="4" t="s">
        <v>702</v>
      </c>
      <c r="E5" s="4" t="s">
        <v>703</v>
      </c>
      <c r="F5" s="4"/>
      <c r="G5" s="4"/>
      <c r="H5" s="4"/>
      <c r="I5" s="4"/>
      <c r="J5" s="66"/>
      <c r="K5" s="67"/>
      <c r="L5" s="68"/>
      <c r="M5" s="4"/>
      <c r="N5" s="4"/>
      <c r="O5" s="4"/>
      <c r="P5" s="4"/>
    </row>
    <row r="6">
      <c r="A6" s="4" t="s">
        <v>704</v>
      </c>
      <c r="B6" s="4" t="s">
        <v>22</v>
      </c>
      <c r="C6" s="4" t="s">
        <v>17</v>
      </c>
      <c r="D6" s="4" t="s">
        <v>705</v>
      </c>
      <c r="E6" s="4" t="s">
        <v>703</v>
      </c>
      <c r="F6" s="4"/>
      <c r="G6" s="4"/>
      <c r="H6" s="4"/>
      <c r="I6" s="4"/>
      <c r="J6" s="66"/>
      <c r="K6" s="67"/>
      <c r="L6" s="68"/>
      <c r="M6" s="4"/>
      <c r="N6" s="4"/>
      <c r="O6" s="4"/>
      <c r="P6" s="4"/>
    </row>
    <row r="7">
      <c r="A7" s="4" t="s">
        <v>706</v>
      </c>
      <c r="B7" s="4" t="s">
        <v>18</v>
      </c>
      <c r="C7" s="4" t="s">
        <v>707</v>
      </c>
      <c r="D7" s="4" t="s">
        <v>708</v>
      </c>
      <c r="E7" s="4" t="s">
        <v>703</v>
      </c>
      <c r="F7" s="4"/>
      <c r="G7" s="4"/>
      <c r="H7" s="4"/>
      <c r="I7" s="4"/>
      <c r="J7" s="66"/>
      <c r="K7" s="67"/>
      <c r="L7" s="68"/>
      <c r="M7" s="4"/>
      <c r="N7" s="4"/>
      <c r="O7" s="4"/>
      <c r="P7" s="4"/>
    </row>
    <row r="8">
      <c r="A8" s="4" t="s">
        <v>709</v>
      </c>
      <c r="B8" s="4" t="s">
        <v>18</v>
      </c>
      <c r="C8" s="4" t="s">
        <v>710</v>
      </c>
      <c r="D8" s="4" t="s">
        <v>711</v>
      </c>
      <c r="E8" s="4" t="s">
        <v>703</v>
      </c>
      <c r="F8" s="4"/>
      <c r="G8" s="4"/>
      <c r="H8" s="4"/>
      <c r="I8" s="4"/>
      <c r="J8" s="66"/>
      <c r="K8" s="67"/>
      <c r="L8" s="68"/>
      <c r="M8" s="4"/>
      <c r="N8" s="4"/>
      <c r="O8" s="4"/>
      <c r="P8" s="4"/>
    </row>
    <row r="9">
      <c r="A9" s="4" t="s">
        <v>712</v>
      </c>
      <c r="B9" s="4" t="s">
        <v>18</v>
      </c>
      <c r="C9" s="4" t="s">
        <v>713</v>
      </c>
      <c r="D9" s="4" t="s">
        <v>714</v>
      </c>
      <c r="E9" s="4" t="s">
        <v>703</v>
      </c>
      <c r="F9" s="4"/>
      <c r="G9" s="4"/>
      <c r="H9" s="4"/>
      <c r="I9" s="4"/>
      <c r="J9" s="66"/>
      <c r="K9" s="67"/>
      <c r="L9" s="68"/>
      <c r="M9" s="4"/>
      <c r="N9" s="4"/>
      <c r="O9" s="4"/>
      <c r="P9" s="4"/>
    </row>
    <row r="10">
      <c r="A10" s="4" t="s">
        <v>715</v>
      </c>
      <c r="B10" s="4" t="s">
        <v>36</v>
      </c>
      <c r="C10" s="4" t="s">
        <v>686</v>
      </c>
      <c r="D10" s="4" t="s">
        <v>716</v>
      </c>
      <c r="E10" s="4" t="s">
        <v>703</v>
      </c>
      <c r="F10" s="4"/>
      <c r="G10" s="4"/>
      <c r="H10" s="4"/>
      <c r="I10" s="4"/>
      <c r="J10" s="66"/>
      <c r="K10" s="67"/>
      <c r="L10" s="68"/>
      <c r="M10" s="4"/>
      <c r="N10" s="4"/>
      <c r="O10" s="4"/>
      <c r="P10" s="4"/>
    </row>
    <row r="11">
      <c r="A11" s="4" t="s">
        <v>717</v>
      </c>
      <c r="B11" s="4" t="s">
        <v>101</v>
      </c>
      <c r="C11" s="4" t="s">
        <v>470</v>
      </c>
      <c r="D11" s="4" t="s">
        <v>718</v>
      </c>
      <c r="E11" s="4" t="s">
        <v>703</v>
      </c>
      <c r="F11" s="4"/>
      <c r="G11" s="4"/>
      <c r="H11" s="4"/>
      <c r="I11" s="4"/>
      <c r="J11" s="66"/>
      <c r="K11" s="67"/>
      <c r="L11" s="68"/>
      <c r="M11" s="4"/>
      <c r="N11" s="4"/>
      <c r="O11" s="4"/>
      <c r="P11" s="4"/>
    </row>
    <row r="12">
      <c r="A12" s="4" t="s">
        <v>719</v>
      </c>
      <c r="B12" s="4" t="s">
        <v>33</v>
      </c>
      <c r="C12" s="4" t="s">
        <v>35</v>
      </c>
      <c r="D12" s="4" t="s">
        <v>720</v>
      </c>
      <c r="E12" s="4" t="s">
        <v>703</v>
      </c>
      <c r="F12" s="4"/>
      <c r="G12" s="4"/>
      <c r="H12" s="4"/>
      <c r="I12" s="4"/>
      <c r="J12" s="66"/>
      <c r="K12" s="67"/>
      <c r="L12" s="68"/>
      <c r="M12" s="4"/>
      <c r="N12" s="4"/>
      <c r="O12" s="4"/>
      <c r="P12" s="4"/>
    </row>
    <row r="13">
      <c r="A13" s="4" t="s">
        <v>721</v>
      </c>
      <c r="B13" s="4" t="s">
        <v>14</v>
      </c>
      <c r="C13" s="4" t="s">
        <v>139</v>
      </c>
      <c r="D13" s="4" t="s">
        <v>722</v>
      </c>
      <c r="E13" s="4" t="s">
        <v>703</v>
      </c>
      <c r="F13" s="4"/>
      <c r="G13" s="4"/>
      <c r="H13" s="4"/>
      <c r="I13" s="4"/>
      <c r="J13" s="66"/>
      <c r="K13" s="67"/>
      <c r="L13" s="68"/>
      <c r="M13" s="4"/>
      <c r="N13" s="4"/>
      <c r="O13" s="4"/>
      <c r="P13" s="4"/>
    </row>
    <row r="14">
      <c r="A14" s="4" t="s">
        <v>727</v>
      </c>
      <c r="B14" s="4" t="s">
        <v>728</v>
      </c>
      <c r="C14" s="4" t="s">
        <v>180</v>
      </c>
      <c r="D14" s="4" t="s">
        <v>729</v>
      </c>
      <c r="E14" s="4" t="s">
        <v>703</v>
      </c>
      <c r="F14" s="4"/>
      <c r="G14" s="4"/>
      <c r="H14" s="4"/>
      <c r="I14" s="4"/>
      <c r="J14" s="66"/>
      <c r="K14" s="67"/>
      <c r="L14" s="68"/>
      <c r="M14" s="4"/>
      <c r="N14" s="4"/>
      <c r="O14" s="4"/>
      <c r="P14" s="4"/>
    </row>
    <row r="15">
      <c r="A15" s="4" t="s">
        <v>64</v>
      </c>
      <c r="B15" s="4" t="s">
        <v>14</v>
      </c>
      <c r="C15" s="4" t="s">
        <v>153</v>
      </c>
      <c r="D15" s="4" t="s">
        <v>747</v>
      </c>
      <c r="E15" s="4" t="s">
        <v>703</v>
      </c>
      <c r="F15" s="4"/>
      <c r="G15" s="4"/>
      <c r="H15" s="4"/>
      <c r="I15" s="4"/>
      <c r="J15" s="66"/>
      <c r="K15" s="67"/>
      <c r="L15" s="68"/>
      <c r="M15" s="4"/>
      <c r="N15" s="4"/>
      <c r="O15" s="4"/>
      <c r="P15" s="4"/>
    </row>
    <row r="16">
      <c r="A16" s="4" t="s">
        <v>732</v>
      </c>
      <c r="B16" s="4" t="s">
        <v>18</v>
      </c>
      <c r="C16" s="4" t="s">
        <v>713</v>
      </c>
      <c r="D16" s="4" t="s">
        <v>733</v>
      </c>
      <c r="E16" s="4" t="s">
        <v>703</v>
      </c>
      <c r="F16" s="4"/>
      <c r="G16" s="4"/>
      <c r="H16" s="4"/>
      <c r="I16" s="4"/>
      <c r="J16" s="66"/>
      <c r="K16" s="67"/>
      <c r="L16" s="68"/>
      <c r="M16" s="4"/>
      <c r="N16" s="4"/>
      <c r="O16" s="4"/>
      <c r="P16" s="4"/>
    </row>
    <row r="17">
      <c r="A17" s="4" t="s">
        <v>734</v>
      </c>
      <c r="B17" s="4" t="s">
        <v>36</v>
      </c>
      <c r="C17" s="4" t="s">
        <v>313</v>
      </c>
      <c r="D17" s="4" t="s">
        <v>735</v>
      </c>
      <c r="E17" s="4" t="s">
        <v>703</v>
      </c>
      <c r="F17" s="4"/>
      <c r="G17" s="4"/>
      <c r="H17" s="4"/>
      <c r="I17" s="4"/>
      <c r="J17" s="66"/>
      <c r="K17" s="67"/>
      <c r="L17" s="68"/>
      <c r="M17" s="4"/>
      <c r="N17" s="4"/>
      <c r="O17" s="4"/>
      <c r="P17" s="4"/>
    </row>
    <row r="18">
      <c r="F18" s="62"/>
      <c r="H18" s="62"/>
      <c r="I18" s="62"/>
      <c r="M18" s="62"/>
      <c r="O18" s="62"/>
    </row>
    <row r="19">
      <c r="F19" s="62"/>
      <c r="H19" s="62"/>
      <c r="I19" s="62"/>
      <c r="M19" s="62"/>
      <c r="O19" s="62"/>
    </row>
    <row r="20">
      <c r="F20" s="62"/>
      <c r="H20" s="62"/>
      <c r="I20" s="62"/>
      <c r="M20" s="62"/>
      <c r="O20" s="62"/>
    </row>
    <row r="21" ht="15.75" customHeight="1">
      <c r="F21" s="62"/>
      <c r="H21" s="62"/>
      <c r="I21" s="62"/>
      <c r="M21" s="62"/>
      <c r="O21" s="62"/>
    </row>
    <row r="22" ht="15.75" customHeight="1">
      <c r="F22" s="62"/>
      <c r="H22" s="62"/>
      <c r="I22" s="62"/>
      <c r="M22" s="62"/>
      <c r="O22" s="62"/>
    </row>
    <row r="23" ht="15.75" customHeight="1">
      <c r="F23" s="62"/>
      <c r="H23" s="62"/>
      <c r="I23" s="62"/>
      <c r="M23" s="62"/>
      <c r="O23" s="62"/>
    </row>
    <row r="24" ht="15.75" customHeight="1">
      <c r="F24" s="62"/>
      <c r="H24" s="62"/>
      <c r="I24" s="62"/>
      <c r="M24" s="62"/>
      <c r="O24" s="62"/>
    </row>
    <row r="25" ht="15.75" customHeight="1">
      <c r="F25" s="62"/>
      <c r="H25" s="62"/>
      <c r="I25" s="62"/>
      <c r="M25" s="62"/>
      <c r="O25" s="62"/>
    </row>
    <row r="26" ht="15.75" customHeight="1">
      <c r="F26" s="62"/>
      <c r="H26" s="62"/>
      <c r="I26" s="62"/>
      <c r="M26" s="62"/>
      <c r="O26" s="62"/>
    </row>
    <row r="27" ht="15.75" customHeight="1">
      <c r="F27" s="62"/>
      <c r="H27" s="62"/>
      <c r="I27" s="62"/>
      <c r="M27" s="62"/>
      <c r="O27" s="62"/>
    </row>
    <row r="28" ht="15.75" customHeight="1">
      <c r="F28" s="62"/>
      <c r="H28" s="62"/>
      <c r="I28" s="62"/>
      <c r="M28" s="62"/>
      <c r="O28" s="62"/>
    </row>
    <row r="29" ht="15.75" customHeight="1">
      <c r="F29" s="62"/>
      <c r="H29" s="62"/>
      <c r="I29" s="62"/>
      <c r="M29" s="62"/>
      <c r="O29" s="62"/>
    </row>
    <row r="30" ht="15.75" customHeight="1">
      <c r="F30" s="62"/>
      <c r="H30" s="62"/>
      <c r="I30" s="62"/>
      <c r="M30" s="62"/>
      <c r="O30" s="62"/>
    </row>
    <row r="31" ht="15.75" customHeight="1">
      <c r="F31" s="62"/>
      <c r="H31" s="62"/>
      <c r="I31" s="62"/>
      <c r="M31" s="62"/>
      <c r="O31" s="62"/>
    </row>
    <row r="32" ht="15.75" customHeight="1">
      <c r="F32" s="62"/>
      <c r="H32" s="62"/>
      <c r="I32" s="62"/>
      <c r="M32" s="62"/>
      <c r="O32" s="62"/>
    </row>
    <row r="33" ht="15.75" customHeight="1">
      <c r="F33" s="62"/>
      <c r="H33" s="62"/>
      <c r="I33" s="62"/>
      <c r="M33" s="62"/>
      <c r="O33" s="62"/>
    </row>
    <row r="34" ht="15.75" customHeight="1">
      <c r="F34" s="62"/>
      <c r="H34" s="62"/>
      <c r="I34" s="62"/>
      <c r="M34" s="62"/>
      <c r="O34" s="62"/>
    </row>
    <row r="35" ht="15.75" customHeight="1">
      <c r="F35" s="62"/>
      <c r="H35" s="62"/>
      <c r="I35" s="62"/>
      <c r="M35" s="62"/>
      <c r="O35" s="62"/>
    </row>
    <row r="36" ht="15.75" customHeight="1">
      <c r="F36" s="62"/>
      <c r="H36" s="62"/>
      <c r="I36" s="62"/>
      <c r="M36" s="62"/>
      <c r="O36" s="62"/>
    </row>
    <row r="37" ht="15.75" customHeight="1">
      <c r="F37" s="62"/>
      <c r="H37" s="62"/>
      <c r="I37" s="62"/>
      <c r="M37" s="62"/>
      <c r="O37" s="62"/>
    </row>
    <row r="38" ht="15.75" customHeight="1">
      <c r="F38" s="62"/>
      <c r="H38" s="62"/>
      <c r="I38" s="62"/>
      <c r="M38" s="62"/>
      <c r="O38" s="62"/>
    </row>
    <row r="39" ht="15.75" customHeight="1">
      <c r="F39" s="62"/>
      <c r="H39" s="62"/>
      <c r="I39" s="62"/>
      <c r="M39" s="62"/>
      <c r="O39" s="62"/>
    </row>
    <row r="40" ht="15.75" customHeight="1">
      <c r="F40" s="62"/>
      <c r="H40" s="62"/>
      <c r="I40" s="62"/>
      <c r="M40" s="62"/>
      <c r="O40" s="62"/>
    </row>
    <row r="41" ht="15.75" customHeight="1">
      <c r="F41" s="62"/>
      <c r="H41" s="62"/>
      <c r="I41" s="62"/>
      <c r="M41" s="62"/>
      <c r="O41" s="62"/>
    </row>
    <row r="42" ht="15.75" customHeight="1">
      <c r="F42" s="62"/>
      <c r="H42" s="62"/>
      <c r="I42" s="62"/>
      <c r="M42" s="62"/>
      <c r="O42" s="62"/>
    </row>
    <row r="43" ht="15.75" customHeight="1">
      <c r="F43" s="62"/>
      <c r="H43" s="62"/>
      <c r="I43" s="62"/>
      <c r="M43" s="62"/>
      <c r="O43" s="62"/>
    </row>
    <row r="44" ht="15.75" customHeight="1">
      <c r="F44" s="62"/>
      <c r="H44" s="62"/>
      <c r="I44" s="62"/>
      <c r="M44" s="62"/>
      <c r="O44" s="62"/>
    </row>
    <row r="45" ht="15.75" customHeight="1">
      <c r="F45" s="62"/>
      <c r="H45" s="62"/>
      <c r="I45" s="62"/>
      <c r="M45" s="62"/>
      <c r="O45" s="62"/>
    </row>
    <row r="46" ht="15.75" customHeight="1">
      <c r="F46" s="62"/>
      <c r="H46" s="62"/>
      <c r="I46" s="62"/>
      <c r="M46" s="62"/>
      <c r="O46" s="62"/>
    </row>
    <row r="47" ht="15.75" customHeight="1">
      <c r="F47" s="62"/>
      <c r="H47" s="62"/>
      <c r="I47" s="62"/>
      <c r="M47" s="62"/>
      <c r="O47" s="62"/>
    </row>
    <row r="48" ht="15.75" customHeight="1">
      <c r="F48" s="62"/>
      <c r="H48" s="62"/>
      <c r="I48" s="62"/>
      <c r="M48" s="62"/>
      <c r="O48" s="62"/>
    </row>
    <row r="49" ht="15.75" customHeight="1">
      <c r="F49" s="62"/>
      <c r="H49" s="62"/>
      <c r="I49" s="62"/>
      <c r="M49" s="62"/>
      <c r="O49" s="62"/>
    </row>
    <row r="50" ht="15.75" customHeight="1">
      <c r="F50" s="62"/>
      <c r="H50" s="62"/>
      <c r="I50" s="62"/>
      <c r="M50" s="62"/>
      <c r="O50" s="62"/>
    </row>
    <row r="51" ht="15.75" customHeight="1">
      <c r="F51" s="62"/>
      <c r="H51" s="62"/>
      <c r="I51" s="62"/>
      <c r="M51" s="62"/>
      <c r="O51" s="62"/>
    </row>
    <row r="52" ht="15.75" customHeight="1">
      <c r="F52" s="62"/>
      <c r="H52" s="62"/>
      <c r="I52" s="62"/>
      <c r="M52" s="62"/>
      <c r="O52" s="62"/>
    </row>
    <row r="53" ht="15.75" customHeight="1">
      <c r="F53" s="62"/>
      <c r="H53" s="62"/>
      <c r="I53" s="62"/>
      <c r="M53" s="62"/>
      <c r="O53" s="62"/>
    </row>
    <row r="54" ht="15.75" customHeight="1">
      <c r="F54" s="62"/>
      <c r="H54" s="62"/>
      <c r="I54" s="62"/>
      <c r="M54" s="62"/>
      <c r="O54" s="62"/>
    </row>
    <row r="55" ht="15.75" customHeight="1">
      <c r="F55" s="62"/>
      <c r="H55" s="62"/>
      <c r="I55" s="62"/>
      <c r="M55" s="62"/>
      <c r="O55" s="62"/>
    </row>
    <row r="56" ht="15.75" customHeight="1">
      <c r="F56" s="62"/>
      <c r="H56" s="62"/>
      <c r="I56" s="62"/>
      <c r="M56" s="62"/>
      <c r="O56" s="62"/>
    </row>
    <row r="57" ht="15.75" customHeight="1">
      <c r="F57" s="62"/>
      <c r="H57" s="62"/>
      <c r="I57" s="62"/>
      <c r="M57" s="62"/>
      <c r="O57" s="62"/>
    </row>
    <row r="58" ht="15.75" customHeight="1">
      <c r="F58" s="62"/>
      <c r="H58" s="62"/>
      <c r="I58" s="62"/>
      <c r="M58" s="62"/>
      <c r="O58" s="62"/>
    </row>
    <row r="59" ht="15.75" customHeight="1">
      <c r="F59" s="62"/>
      <c r="H59" s="62"/>
      <c r="I59" s="62"/>
      <c r="M59" s="62"/>
      <c r="O59" s="62"/>
    </row>
    <row r="60" ht="15.75" customHeight="1">
      <c r="F60" s="62"/>
      <c r="H60" s="62"/>
      <c r="I60" s="62"/>
      <c r="M60" s="62"/>
      <c r="O60" s="62"/>
    </row>
    <row r="61" ht="15.75" customHeight="1">
      <c r="F61" s="62"/>
      <c r="H61" s="62"/>
      <c r="I61" s="62"/>
      <c r="M61" s="62"/>
      <c r="O61" s="62"/>
    </row>
    <row r="62" ht="15.75" customHeight="1">
      <c r="F62" s="62"/>
      <c r="H62" s="62"/>
      <c r="I62" s="62"/>
      <c r="M62" s="62"/>
      <c r="O62" s="62"/>
    </row>
    <row r="63" ht="15.75" customHeight="1">
      <c r="F63" s="62"/>
      <c r="H63" s="62"/>
      <c r="I63" s="62"/>
      <c r="M63" s="62"/>
      <c r="O63" s="62"/>
    </row>
    <row r="64" ht="15.75" customHeight="1">
      <c r="F64" s="62"/>
      <c r="H64" s="62"/>
      <c r="I64" s="62"/>
      <c r="M64" s="62"/>
      <c r="O64" s="62"/>
    </row>
    <row r="65" ht="15.75" customHeight="1">
      <c r="F65" s="62"/>
      <c r="H65" s="62"/>
      <c r="I65" s="62"/>
      <c r="M65" s="62"/>
      <c r="O65" s="62"/>
    </row>
    <row r="66" ht="15.75" customHeight="1">
      <c r="F66" s="62"/>
      <c r="H66" s="62"/>
      <c r="I66" s="62"/>
      <c r="M66" s="62"/>
      <c r="O66" s="62"/>
    </row>
    <row r="67" ht="15.75" customHeight="1">
      <c r="F67" s="62"/>
      <c r="H67" s="62"/>
      <c r="I67" s="62"/>
      <c r="M67" s="62"/>
      <c r="O67" s="62"/>
    </row>
    <row r="68" ht="15.75" customHeight="1">
      <c r="F68" s="62"/>
      <c r="H68" s="62"/>
      <c r="I68" s="62"/>
      <c r="M68" s="62"/>
      <c r="O68" s="62"/>
    </row>
    <row r="69" ht="15.75" customHeight="1">
      <c r="F69" s="62"/>
      <c r="H69" s="62"/>
      <c r="I69" s="62"/>
      <c r="M69" s="62"/>
      <c r="O69" s="62"/>
    </row>
    <row r="70" ht="15.75" customHeight="1">
      <c r="F70" s="62"/>
      <c r="H70" s="62"/>
      <c r="I70" s="62"/>
      <c r="M70" s="62"/>
      <c r="O70" s="62"/>
    </row>
    <row r="71" ht="15.75" customHeight="1">
      <c r="F71" s="62"/>
      <c r="H71" s="62"/>
      <c r="I71" s="62"/>
      <c r="M71" s="62"/>
      <c r="O71" s="62"/>
    </row>
    <row r="72" ht="15.75" customHeight="1">
      <c r="F72" s="62"/>
      <c r="H72" s="62"/>
      <c r="I72" s="62"/>
      <c r="M72" s="62"/>
      <c r="O72" s="62"/>
    </row>
    <row r="73" ht="15.75" customHeight="1">
      <c r="F73" s="62"/>
      <c r="H73" s="62"/>
      <c r="I73" s="62"/>
      <c r="M73" s="62"/>
      <c r="O73" s="62"/>
    </row>
    <row r="74" ht="15.75" customHeight="1">
      <c r="F74" s="62"/>
      <c r="H74" s="62"/>
      <c r="I74" s="62"/>
      <c r="M74" s="62"/>
      <c r="O74" s="62"/>
    </row>
    <row r="75" ht="15.75" customHeight="1">
      <c r="F75" s="62"/>
      <c r="H75" s="62"/>
      <c r="I75" s="62"/>
      <c r="M75" s="62"/>
      <c r="O75" s="62"/>
    </row>
    <row r="76" ht="15.75" customHeight="1">
      <c r="F76" s="62"/>
      <c r="H76" s="62"/>
      <c r="I76" s="62"/>
      <c r="M76" s="62"/>
      <c r="O76" s="62"/>
    </row>
    <row r="77" ht="15.75" customHeight="1">
      <c r="F77" s="62"/>
      <c r="H77" s="62"/>
      <c r="I77" s="62"/>
      <c r="M77" s="62"/>
      <c r="O77" s="62"/>
    </row>
    <row r="78" ht="15.75" customHeight="1">
      <c r="F78" s="62"/>
      <c r="H78" s="62"/>
      <c r="I78" s="62"/>
      <c r="M78" s="62"/>
      <c r="O78" s="62"/>
    </row>
    <row r="79" ht="15.75" customHeight="1">
      <c r="F79" s="62"/>
      <c r="H79" s="62"/>
      <c r="I79" s="62"/>
      <c r="M79" s="62"/>
      <c r="O79" s="62"/>
    </row>
    <row r="80" ht="15.75" customHeight="1">
      <c r="F80" s="62"/>
      <c r="H80" s="62"/>
      <c r="I80" s="62"/>
      <c r="M80" s="62"/>
      <c r="O80" s="62"/>
    </row>
    <row r="81" ht="15.75" customHeight="1">
      <c r="F81" s="62"/>
      <c r="H81" s="62"/>
      <c r="I81" s="62"/>
      <c r="M81" s="62"/>
      <c r="O81" s="62"/>
    </row>
    <row r="82" ht="15.75" customHeight="1">
      <c r="F82" s="62"/>
      <c r="H82" s="62"/>
      <c r="I82" s="62"/>
      <c r="M82" s="62"/>
      <c r="O82" s="62"/>
    </row>
    <row r="83" ht="15.75" customHeight="1">
      <c r="F83" s="62"/>
      <c r="H83" s="62"/>
      <c r="I83" s="62"/>
      <c r="M83" s="62"/>
      <c r="O83" s="62"/>
    </row>
    <row r="84" ht="15.75" customHeight="1">
      <c r="F84" s="62"/>
      <c r="H84" s="62"/>
      <c r="I84" s="62"/>
      <c r="M84" s="62"/>
      <c r="O84" s="62"/>
    </row>
    <row r="85" ht="15.75" customHeight="1">
      <c r="F85" s="62"/>
      <c r="H85" s="62"/>
      <c r="I85" s="62"/>
      <c r="M85" s="62"/>
      <c r="O85" s="62"/>
    </row>
    <row r="86" ht="15.75" customHeight="1">
      <c r="F86" s="62"/>
      <c r="H86" s="62"/>
      <c r="I86" s="62"/>
      <c r="M86" s="62"/>
      <c r="O86" s="62"/>
    </row>
    <row r="87" ht="15.75" customHeight="1">
      <c r="F87" s="62"/>
      <c r="H87" s="62"/>
      <c r="I87" s="62"/>
      <c r="M87" s="62"/>
      <c r="O87" s="62"/>
    </row>
    <row r="88" ht="15.75" customHeight="1">
      <c r="F88" s="62"/>
      <c r="H88" s="62"/>
      <c r="I88" s="62"/>
      <c r="M88" s="62"/>
      <c r="O88" s="62"/>
    </row>
    <row r="89" ht="15.75" customHeight="1">
      <c r="F89" s="62"/>
      <c r="H89" s="62"/>
      <c r="I89" s="62"/>
      <c r="M89" s="62"/>
      <c r="O89" s="62"/>
    </row>
    <row r="90" ht="15.75" customHeight="1">
      <c r="F90" s="62"/>
      <c r="H90" s="62"/>
      <c r="I90" s="62"/>
      <c r="M90" s="62"/>
      <c r="O90" s="62"/>
    </row>
    <row r="91" ht="15.75" customHeight="1">
      <c r="F91" s="62"/>
      <c r="H91" s="62"/>
      <c r="I91" s="62"/>
      <c r="M91" s="62"/>
      <c r="O91" s="62"/>
    </row>
    <row r="92" ht="15.75" customHeight="1">
      <c r="F92" s="62"/>
      <c r="H92" s="62"/>
      <c r="I92" s="62"/>
      <c r="M92" s="62"/>
      <c r="O92" s="62"/>
    </row>
    <row r="93" ht="15.75" customHeight="1">
      <c r="F93" s="62"/>
      <c r="H93" s="62"/>
      <c r="I93" s="62"/>
      <c r="M93" s="62"/>
      <c r="O93" s="62"/>
    </row>
    <row r="94" ht="15.75" customHeight="1">
      <c r="F94" s="62"/>
      <c r="H94" s="62"/>
      <c r="I94" s="62"/>
      <c r="M94" s="62"/>
      <c r="O94" s="62"/>
    </row>
    <row r="95" ht="15.75" customHeight="1">
      <c r="F95" s="62"/>
      <c r="H95" s="62"/>
      <c r="I95" s="62"/>
      <c r="M95" s="62"/>
      <c r="O95" s="62"/>
    </row>
    <row r="96" ht="15.75" customHeight="1">
      <c r="F96" s="62"/>
      <c r="H96" s="62"/>
      <c r="I96" s="62"/>
      <c r="M96" s="62"/>
      <c r="O96" s="62"/>
    </row>
    <row r="97" ht="15.75" customHeight="1">
      <c r="F97" s="62"/>
      <c r="H97" s="62"/>
      <c r="I97" s="62"/>
      <c r="M97" s="62"/>
      <c r="O97" s="62"/>
    </row>
    <row r="98" ht="15.75" customHeight="1">
      <c r="F98" s="62"/>
      <c r="H98" s="62"/>
      <c r="I98" s="62"/>
      <c r="M98" s="62"/>
      <c r="O98" s="62"/>
    </row>
    <row r="99" ht="15.75" customHeight="1">
      <c r="F99" s="62"/>
      <c r="H99" s="62"/>
      <c r="I99" s="62"/>
      <c r="M99" s="62"/>
      <c r="O99" s="62"/>
    </row>
    <row r="100" ht="15.75" customHeight="1">
      <c r="F100" s="62"/>
      <c r="H100" s="62"/>
      <c r="I100" s="62"/>
      <c r="M100" s="62"/>
      <c r="O100" s="62"/>
    </row>
    <row r="101" ht="15.75" customHeight="1">
      <c r="F101" s="62"/>
      <c r="H101" s="62"/>
      <c r="I101" s="62"/>
      <c r="M101" s="62"/>
      <c r="O101" s="62"/>
    </row>
    <row r="102" ht="15.75" customHeight="1">
      <c r="F102" s="62"/>
      <c r="H102" s="62"/>
      <c r="I102" s="62"/>
      <c r="M102" s="62"/>
      <c r="O102" s="62"/>
    </row>
    <row r="103" ht="15.75" customHeight="1">
      <c r="F103" s="62"/>
      <c r="H103" s="62"/>
      <c r="I103" s="62"/>
      <c r="M103" s="62"/>
      <c r="O103" s="62"/>
    </row>
    <row r="104" ht="15.75" customHeight="1">
      <c r="F104" s="62"/>
      <c r="H104" s="62"/>
      <c r="I104" s="62"/>
      <c r="M104" s="62"/>
      <c r="O104" s="62"/>
    </row>
    <row r="105" ht="15.75" customHeight="1">
      <c r="F105" s="62"/>
      <c r="H105" s="62"/>
      <c r="I105" s="62"/>
      <c r="M105" s="62"/>
      <c r="O105" s="62"/>
    </row>
    <row r="106" ht="15.75" customHeight="1">
      <c r="F106" s="62"/>
      <c r="H106" s="62"/>
      <c r="I106" s="62"/>
      <c r="M106" s="62"/>
      <c r="O106" s="62"/>
    </row>
    <row r="107" ht="15.75" customHeight="1">
      <c r="F107" s="62"/>
      <c r="H107" s="62"/>
      <c r="I107" s="62"/>
      <c r="M107" s="62"/>
      <c r="O107" s="62"/>
    </row>
    <row r="108" ht="15.75" customHeight="1">
      <c r="F108" s="62"/>
      <c r="H108" s="62"/>
      <c r="I108" s="62"/>
      <c r="M108" s="62"/>
      <c r="O108" s="62"/>
    </row>
    <row r="109" ht="15.75" customHeight="1">
      <c r="F109" s="62"/>
      <c r="H109" s="62"/>
      <c r="I109" s="62"/>
      <c r="M109" s="62"/>
      <c r="O109" s="62"/>
    </row>
    <row r="110" ht="15.75" customHeight="1">
      <c r="F110" s="62"/>
      <c r="H110" s="62"/>
      <c r="I110" s="62"/>
      <c r="M110" s="62"/>
      <c r="O110" s="62"/>
    </row>
    <row r="111" ht="15.75" customHeight="1">
      <c r="F111" s="62"/>
      <c r="H111" s="62"/>
      <c r="I111" s="62"/>
      <c r="M111" s="62"/>
      <c r="O111" s="62"/>
    </row>
    <row r="112" ht="15.75" customHeight="1">
      <c r="F112" s="62"/>
      <c r="H112" s="62"/>
      <c r="I112" s="62"/>
      <c r="M112" s="62"/>
      <c r="O112" s="62"/>
    </row>
    <row r="113" ht="15.75" customHeight="1">
      <c r="F113" s="62"/>
      <c r="H113" s="62"/>
      <c r="I113" s="62"/>
      <c r="M113" s="62"/>
      <c r="O113" s="62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17"/>
  <conditionalFormatting sqref="F5:F1000">
    <cfRule type="expression" dxfId="0" priority="1">
      <formula>OR(F5="Zusage",F5="Terminiert",F5="Durchgeführt")</formula>
    </cfRule>
  </conditionalFormatting>
  <conditionalFormatting sqref="F5:F1000">
    <cfRule type="cellIs" dxfId="1" priority="2" operator="equal">
      <formula>"Absage"</formula>
    </cfRule>
  </conditionalFormatting>
  <dataValidations>
    <dataValidation type="list" allowBlank="1" sqref="F5:F113">
      <formula1>"Kontaktiert,Nachfragen,Zusage,Terminiert,Durchgeführt,Abgeschlossen,Absage"</formula1>
    </dataValidation>
    <dataValidation type="list" allowBlank="1" sqref="H5:I113">
      <formula1>"Andreas Braxmeier,Nadine Beha,Sophie Scheffler,Ragavi Anusujantha,Nina Ludwig"</formula1>
    </dataValidation>
    <dataValidation type="list" allowBlank="1" sqref="M5:M113">
      <formula1>"Zoom,Präsenz,Telefon,Teams,Sonstiges"</formula1>
    </dataValidation>
    <dataValidation type="list" allowBlank="1" sqref="O5:O113">
      <formula1>"Bedarfsanalyse,Versorgungslage,Kooperationen,Prävention,Zugangsbarrieren,Best Practices,Zukunftswünsche,Sonstiges"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2026-01-12T18:47:49Z</dcterms:created>
  <dc:creator>openpyxl</dc:creator>
</cp:coreProperties>
</file>