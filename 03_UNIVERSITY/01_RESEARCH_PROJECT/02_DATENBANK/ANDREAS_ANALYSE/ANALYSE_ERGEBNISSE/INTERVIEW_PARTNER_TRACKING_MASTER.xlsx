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kpit" sheetId="1" state="visible" r:id="rId1"/>
    <sheet xmlns:r="http://schemas.openxmlformats.org/officeDocument/2006/relationships" name="Infos &amp; Ressourcen" sheetId="2" state="visible" r:id="rId2"/>
    <sheet xmlns:r="http://schemas.openxmlformats.org/officeDocument/2006/relationships" name="Übersicht" sheetId="3" state="visible" r:id="rId3"/>
    <sheet xmlns:r="http://schemas.openxmlformats.org/officeDocument/2006/relationships" name="Groß &amp; Regelmäßig" sheetId="4" state="visible" r:id="rId4"/>
    <sheet xmlns:r="http://schemas.openxmlformats.org/officeDocument/2006/relationships" name="Groß &amp; Gelegentlich" sheetId="5" state="visible" r:id="rId5"/>
    <sheet xmlns:r="http://schemas.openxmlformats.org/officeDocument/2006/relationships" name="Klein &amp; Regelmäßig" sheetId="6" state="visible" r:id="rId6"/>
    <sheet xmlns:r="http://schemas.openxmlformats.org/officeDocument/2006/relationships" name="Klein &amp; Gelegentlich" sheetId="7" state="visible" r:id="rId7"/>
  </sheets>
  <definedNames>
    <definedName name="_xlnm._FilterDatabase" localSheetId="2" hidden="1">'Übersicht'!$A$4:$P$58</definedName>
    <definedName name="_xlnm._FilterDatabase" localSheetId="3" hidden="1">'Groß &amp; Regelmäßig'!$A$4:$P$17</definedName>
    <definedName name="_xlnm._FilterDatabase" localSheetId="4" hidden="1">'Groß &amp; Gelegentlich'!$A$4:$P$18</definedName>
    <definedName name="_xlnm._FilterDatabase" localSheetId="5" hidden="1">'Klein &amp; Regelmäßig'!$A$4:$P$18</definedName>
    <definedName name="_xlnm._FilterDatabase" localSheetId="6" hidden="1">'Klein &amp; Gelegentlich'!$A$4:$P$17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03764"/>
      <sz val="22"/>
    </font>
    <font>
      <b val="1"/>
      <sz val="14"/>
    </font>
    <font>
      <b val="1"/>
      <color rgb="00FFFFFF"/>
    </font>
    <font>
      <b val="1"/>
      <color rgb="00203764"/>
      <sz val="18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5" customWidth="1" min="3" max="3"/>
    <col width="25" customWidth="1" min="5" max="5"/>
  </cols>
  <sheetData>
    <row r="2">
      <c r="B2" s="1" t="inlineStr">
        <is>
          <t>Projekt-Dashboard</t>
        </is>
      </c>
    </row>
    <row r="5">
      <c r="B5" s="2" t="inlineStr">
        <is>
          <t>Status Übersicht</t>
        </is>
      </c>
      <c r="E5" s="2" t="inlineStr">
        <is>
          <t>Team Auslastung</t>
        </is>
      </c>
    </row>
    <row r="6">
      <c r="B6" s="3" t="inlineStr">
        <is>
          <t>Status</t>
        </is>
      </c>
      <c r="C6" s="3" t="inlineStr">
        <is>
          <t>Anzahl</t>
        </is>
      </c>
      <c r="E6" s="3" t="inlineStr">
        <is>
          <t>Name</t>
        </is>
      </c>
      <c r="F6" s="3" t="inlineStr">
        <is>
          <t>Einsätze</t>
        </is>
      </c>
    </row>
    <row r="7">
      <c r="B7" s="4" t="inlineStr">
        <is>
          <t>Kontaktiert</t>
        </is>
      </c>
      <c r="C7" s="5">
        <f>COUNTIF(Übersicht!F$5:F$500, "Kontaktiert")</f>
        <v/>
      </c>
      <c r="E7" s="4" t="inlineStr">
        <is>
          <t>Nadine Beha</t>
        </is>
      </c>
      <c r="F7" s="5">
        <f>COUNTIF(Übersicht!H$5:H$500, "Nadine Beha") + COUNTIF(Übersicht!I$5:I$500, "Nadine Beha")</f>
        <v/>
      </c>
    </row>
    <row r="8">
      <c r="B8" s="4" t="inlineStr">
        <is>
          <t>Nachfragen</t>
        </is>
      </c>
      <c r="C8" s="5">
        <f>COUNTIF(Übersicht!F$5:F$500, "Nachfragen")</f>
        <v/>
      </c>
      <c r="E8" s="4" t="inlineStr">
        <is>
          <t>Sophie Scheffler</t>
        </is>
      </c>
      <c r="F8" s="5">
        <f>COUNTIF(Übersicht!H$5:H$500, "Sophie Scheffler") + COUNTIF(Übersicht!I$5:I$500, "Sophie Scheffler")</f>
        <v/>
      </c>
    </row>
    <row r="9">
      <c r="B9" s="4" t="inlineStr">
        <is>
          <t>Zusage</t>
        </is>
      </c>
      <c r="C9" s="5">
        <f>COUNTIF(Übersicht!F$5:F$500, "Zusage")</f>
        <v/>
      </c>
      <c r="E9" s="4" t="inlineStr">
        <is>
          <t>Andreas Braxmeier</t>
        </is>
      </c>
      <c r="F9" s="5">
        <f>COUNTIF(Übersicht!H$5:H$500, "Andreas Braxmeier") + COUNTIF(Übersicht!I$5:I$500, "Andreas Braxmeier")</f>
        <v/>
      </c>
    </row>
    <row r="10">
      <c r="B10" s="4" t="inlineStr">
        <is>
          <t>Terminiert</t>
        </is>
      </c>
      <c r="C10" s="5">
        <f>COUNTIF(Übersicht!F$5:F$500, "Terminiert")</f>
        <v/>
      </c>
      <c r="E10" s="4" t="inlineStr">
        <is>
          <t>Ragavi Anusujantha</t>
        </is>
      </c>
      <c r="F10" s="5">
        <f>COUNTIF(Übersicht!H$5:H$500, "Ragavi Anusujantha") + COUNTIF(Übersicht!I$5:I$500, "Ragavi Anusujantha")</f>
        <v/>
      </c>
    </row>
    <row r="11">
      <c r="B11" s="4" t="inlineStr">
        <is>
          <t>Durchgeführt</t>
        </is>
      </c>
      <c r="C11" s="5">
        <f>COUNTIF(Übersicht!F$5:F$500, "Durchgeführt")</f>
        <v/>
      </c>
    </row>
    <row r="12">
      <c r="B12" s="4" t="inlineStr">
        <is>
          <t>Abgeschlossen</t>
        </is>
      </c>
      <c r="C12" s="5">
        <f>COUNTIF(Übersicht!F$5:F$500, "Abgeschlossen")</f>
        <v/>
      </c>
    </row>
    <row r="13">
      <c r="B13" s="4" t="inlineStr">
        <is>
          <t>Absage</t>
        </is>
      </c>
      <c r="C13" s="5">
        <f>COUNTIF(Übersicht!F$5:F$500, "Absage")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30" customWidth="1" min="4" max="4"/>
  </cols>
  <sheetData>
    <row r="1">
      <c r="A1" s="6" t="inlineStr">
        <is>
          <t>Wichtige Projekt-Informationen</t>
        </is>
      </c>
    </row>
    <row r="3">
      <c r="A3" s="7" t="inlineStr">
        <is>
          <t>Thema</t>
        </is>
      </c>
      <c r="B3" s="7" t="inlineStr">
        <is>
          <t>Link / Ort</t>
        </is>
      </c>
      <c r="C3" s="7" t="inlineStr">
        <is>
          <t>Benutzername</t>
        </is>
      </c>
      <c r="D3" s="7" t="inlineStr">
        <is>
          <t>Passwort / Notiz</t>
        </is>
      </c>
    </row>
    <row r="4">
      <c r="A4" s="4" t="inlineStr">
        <is>
          <t>Zoom Meeting Raum</t>
        </is>
      </c>
      <c r="B4" s="4" t="inlineStr"/>
      <c r="C4" s="4" t="inlineStr"/>
      <c r="D4" s="4" t="inlineStr"/>
    </row>
    <row r="5">
      <c r="A5" s="4" t="inlineStr">
        <is>
          <t>Projektordner (Drive)</t>
        </is>
      </c>
      <c r="B5" s="4" t="inlineStr"/>
      <c r="C5" s="4" t="inlineStr"/>
      <c r="D5" s="4" t="inlineStr"/>
    </row>
    <row r="6">
      <c r="A6" s="4" t="inlineStr">
        <is>
          <t>Miro Board</t>
        </is>
      </c>
      <c r="B6" s="4" t="inlineStr"/>
      <c r="C6" s="4" t="inlineStr"/>
      <c r="D6" s="4" t="inlineStr"/>
    </row>
    <row r="7">
      <c r="A7" s="4" t="inlineStr">
        <is>
          <t>Interviewleitfaden (Link)</t>
        </is>
      </c>
      <c r="B7" s="4" t="inlineStr"/>
      <c r="C7" s="4" t="inlineStr"/>
      <c r="D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5" customWidth="1" min="14" max="14"/>
    <col width="40" customWidth="1" min="15" max="15"/>
    <col width="20" customWidth="1" min="16" max="16"/>
  </cols>
  <sheetData>
    <row r="1">
      <c r="A1" s="2" t="inlineStr">
        <is>
          <t>ÜBERSICHT</t>
        </is>
      </c>
      <c r="B1" t="inlineStr">
        <is>
          <t>Anzahl: 54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Lead</t>
        </is>
      </c>
      <c r="I4" s="8" t="inlineStr">
        <is>
          <t>Co-Interviewer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Katholisches Familienzentrum St. Konrad</t>
        </is>
      </c>
      <c r="B5" s="4" t="inlineStr">
        <is>
          <t>Soziales / Selbsthilfe</t>
        </is>
      </c>
      <c r="C5" s="4" t="inlineStr">
        <is>
          <t>Villingen-Schwenningen</t>
        </is>
      </c>
      <c r="D5" s="4" t="inlineStr">
        <is>
          <t>kontakt@familienzentrum-stkonrad.de</t>
        </is>
      </c>
      <c r="E5" s="4" t="inlineStr">
        <is>
          <t>Groß &amp; Regelmäßig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>
      <c r="A6" s="4" t="inlineStr">
        <is>
          <t>Ago e.V.</t>
        </is>
      </c>
      <c r="B6" s="4" t="inlineStr">
        <is>
          <t>Prävention</t>
        </is>
      </c>
      <c r="C6" s="4" t="inlineStr">
        <is>
          <t>Donaueschingen</t>
        </is>
      </c>
      <c r="D6" s="4" t="inlineStr">
        <is>
          <t>info@verein-ago.de</t>
        </is>
      </c>
      <c r="E6" s="4" t="inlineStr">
        <is>
          <t>Groß &amp; Regelmäßig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4" t="inlineStr">
        <is>
          <t>Psychologische Beratungsstelle Ev./Kath. Kirche</t>
        </is>
      </c>
      <c r="B7" s="4" t="inlineStr">
        <is>
          <t>Beratung</t>
        </is>
      </c>
      <c r="C7" s="4" t="inlineStr">
        <is>
          <t>Villingen-Schwenningen</t>
        </is>
      </c>
      <c r="D7" s="4" t="inlineStr">
        <is>
          <t>gemeindebuero.schwenningen@elk-wue.de</t>
        </is>
      </c>
      <c r="E7" s="4" t="inlineStr">
        <is>
          <t>Groß &amp; Regelmäßig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>
      <c r="A8" s="4" t="inlineStr">
        <is>
          <t>Sommerrainschule St. Georgen -- Sportangebote</t>
        </is>
      </c>
      <c r="B8" s="4" t="inlineStr">
        <is>
          <t>Sportangebot</t>
        </is>
      </c>
      <c r="C8" s="4" t="inlineStr">
        <is>
          <t>St. Georgen</t>
        </is>
      </c>
      <c r="D8" s="4" t="inlineStr">
        <is>
          <t>sbbz-st.georgen@t-online.de</t>
        </is>
      </c>
      <c r="E8" s="4" t="inlineStr">
        <is>
          <t>Groß &amp; Regelmäßig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inlineStr">
        <is>
          <t>Kinderfeuerwehr St. Georgen</t>
        </is>
      </c>
      <c r="B9" s="4" t="inlineStr">
        <is>
          <t>BOS</t>
        </is>
      </c>
      <c r="C9" s="4" t="inlineStr">
        <is>
          <t>St. Georgen</t>
        </is>
      </c>
      <c r="D9" s="4" t="inlineStr">
        <is>
          <t>info@feuerwehr-st-georgen.de</t>
        </is>
      </c>
      <c r="E9" s="4" t="inlineStr">
        <is>
          <t>Groß &amp; Regelmäßig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4" t="inlineStr">
        <is>
          <t>Neckarschule -- Klasse 2000</t>
        </is>
      </c>
      <c r="B10" s="4" t="inlineStr">
        <is>
          <t>Prävention</t>
        </is>
      </c>
      <c r="C10" s="4" t="inlineStr">
        <is>
          <t>Villingen-Schwenningen</t>
        </is>
      </c>
      <c r="D10" s="4" t="inlineStr">
        <is>
          <t>neckarschule@villingen-schwenningen.de</t>
        </is>
      </c>
      <c r="E10" s="4" t="inlineStr">
        <is>
          <t>Groß &amp; Regelmäßig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4" t="inlineStr">
        <is>
          <t>Georg Müller Grund- und Realschule -- Präventionskonzept</t>
        </is>
      </c>
      <c r="B11" s="4" t="inlineStr">
        <is>
          <t>Prävention</t>
        </is>
      </c>
      <c r="C11" s="4" t="inlineStr">
        <is>
          <t>Villingen-Schwenningen</t>
        </is>
      </c>
      <c r="D11" s="4" t="inlineStr">
        <is>
          <t>info@gmsvs.de</t>
        </is>
      </c>
      <c r="E11" s="4" t="inlineStr">
        <is>
          <t>Groß &amp; Regelmäßig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>
      <c r="A12" s="4" t="inlineStr">
        <is>
          <t>Caritas Schwangerschaftsberatung</t>
        </is>
      </c>
      <c r="B12" s="4" t="inlineStr">
        <is>
          <t>Beratung</t>
        </is>
      </c>
      <c r="C12" s="4" t="inlineStr">
        <is>
          <t>Villingen-Schwenningen</t>
        </is>
      </c>
      <c r="D12" s="4" t="inlineStr">
        <is>
          <t>info@caritas-sbk.de</t>
        </is>
      </c>
      <c r="E12" s="4" t="inlineStr">
        <is>
          <t>Groß &amp; Regelmäßig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>
      <c r="A13" s="4" t="inlineStr">
        <is>
          <t>Sozialpsychiatrischer Dienst (Caritas)</t>
        </is>
      </c>
      <c r="B13" s="4" t="inlineStr">
        <is>
          <t>Soziales</t>
        </is>
      </c>
      <c r="C13" s="4" t="inlineStr">
        <is>
          <t>Villingen-Schwenningen</t>
        </is>
      </c>
      <c r="D13" s="4" t="inlineStr">
        <is>
          <t>elke.schwarz@caritas-sbk.de</t>
        </is>
      </c>
      <c r="E13" s="4" t="inlineStr">
        <is>
          <t>Groß &amp; Regelmäßig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>
      <c r="A14" s="4" t="inlineStr">
        <is>
          <t>Malteser Hilfsdienst -- Psychosoziale Notfallvorsorge</t>
        </is>
      </c>
      <c r="B14" s="4" t="inlineStr">
        <is>
          <t>BOS</t>
        </is>
      </c>
      <c r="C14" s="4" t="inlineStr">
        <is>
          <t>Villingen-Schwenningen</t>
        </is>
      </c>
      <c r="D14" s="4" t="inlineStr">
        <is>
          <t>Rainer.Kuehl@malteser.org</t>
        </is>
      </c>
      <c r="E14" s="4" t="inlineStr">
        <is>
          <t>Groß &amp; Regelmäßig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4" t="inlineStr">
        <is>
          <t>AWO Haus der Kinder</t>
        </is>
      </c>
      <c r="B15" s="4" t="inlineStr">
        <is>
          <t>Betreuung</t>
        </is>
      </c>
      <c r="C15" s="4" t="inlineStr">
        <is>
          <t>Villingen-Schwenningen</t>
        </is>
      </c>
      <c r="D15" s="4" t="inlineStr">
        <is>
          <t>hausderkinder@awo-ov-vs.de</t>
        </is>
      </c>
      <c r="E15" s="4" t="inlineStr">
        <is>
          <t>Groß &amp; Regelmäßig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>
      <c r="A16" s="4" t="inlineStr">
        <is>
          <t>Pro Familia Villingen-Schwenningen</t>
        </is>
      </c>
      <c r="B16" s="4" t="inlineStr">
        <is>
          <t>Beratung</t>
        </is>
      </c>
      <c r="C16" s="4" t="inlineStr">
        <is>
          <t>Villingen-Schwenningen</t>
        </is>
      </c>
      <c r="D16" s="4" t="inlineStr">
        <is>
          <t>vs-villingen@profamilia.de</t>
        </is>
      </c>
      <c r="E16" s="4" t="inlineStr">
        <is>
          <t>Groß &amp; Regelmäßig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>
      <c r="A17" s="4" t="inlineStr">
        <is>
          <t>Sportangebot Öfingen 1969</t>
        </is>
      </c>
      <c r="B17" s="4" t="inlineStr">
        <is>
          <t>Sportangebot</t>
        </is>
      </c>
      <c r="C17" s="4" t="inlineStr">
        <is>
          <t>Bad Dürrheim</t>
        </is>
      </c>
      <c r="D17" s="4" t="inlineStr">
        <is>
          <t>jugend@sv-oefingen.de</t>
        </is>
      </c>
      <c r="E17" s="4" t="inlineStr">
        <is>
          <t>Groß &amp; Regelmäßig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>
      <c r="A18" s="4" t="inlineStr">
        <is>
          <t>BEKJ Villingen-Schwenningen</t>
        </is>
      </c>
      <c r="B18" s="4" t="inlineStr">
        <is>
          <t>Beratung</t>
        </is>
      </c>
      <c r="C18" s="4" t="inlineStr">
        <is>
          <t>Villingen-Schwenningen</t>
        </is>
      </c>
      <c r="D18" s="4" t="inlineStr">
        <is>
          <t>beratungsstelle-bekj-fw@Lrasbk.de</t>
        </is>
      </c>
      <c r="E18" s="4" t="inlineStr">
        <is>
          <t>Groß &amp; Gelegentlich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  <row r="19">
      <c r="A19" s="4" t="inlineStr">
        <is>
          <t>Polizei Triberg -- Präventionsvorträge</t>
        </is>
      </c>
      <c r="B19" s="4" t="inlineStr">
        <is>
          <t>Prävention</t>
        </is>
      </c>
      <c r="C19" s="4" t="inlineStr">
        <is>
          <t>Triberg</t>
        </is>
      </c>
      <c r="D19" s="4" t="inlineStr">
        <is>
          <t>Keine E-Mail!</t>
        </is>
      </c>
      <c r="E19" s="4" t="inlineStr">
        <is>
          <t>Groß &amp; Gelegentlich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</row>
    <row r="20">
      <c r="A20" s="4" t="inlineStr">
        <is>
          <t>Schwarzwald-Gymnasium</t>
        </is>
      </c>
      <c r="B20" s="4" t="inlineStr">
        <is>
          <t>Beratung</t>
        </is>
      </c>
      <c r="C20" s="4" t="inlineStr">
        <is>
          <t>Triberg</t>
        </is>
      </c>
      <c r="D20" s="4" t="inlineStr">
        <is>
          <t>rf@schwarzwald-gymnasium.de</t>
        </is>
      </c>
      <c r="E20" s="4" t="inlineStr">
        <is>
          <t>Groß &amp; Gelegentlich</t>
        </is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</row>
    <row r="21">
      <c r="A21" s="4" t="inlineStr">
        <is>
          <t>Lernort Natur -- Jägervereinigung SBK</t>
        </is>
      </c>
      <c r="B21" s="4" t="inlineStr">
        <is>
          <t>Natur</t>
        </is>
      </c>
      <c r="C21" s="4" t="inlineStr">
        <is>
          <t>SBK</t>
        </is>
      </c>
      <c r="D21" s="4" t="inlineStr">
        <is>
          <t>kjm-kjv-sbk@outlook.de</t>
        </is>
      </c>
      <c r="E21" s="4" t="inlineStr">
        <is>
          <t>Groß &amp; Gelegentlich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</row>
    <row r="22">
      <c r="A22" s="4" t="inlineStr">
        <is>
          <t>Naturfreunde</t>
        </is>
      </c>
      <c r="B22" s="4" t="inlineStr">
        <is>
          <t>Umweltschutz</t>
        </is>
      </c>
      <c r="C22" s="4" t="inlineStr">
        <is>
          <t>Bräunlingen</t>
        </is>
      </c>
      <c r="D22" s="4" t="inlineStr">
        <is>
          <t>naturfreunde-braeunlingen@gmx.de</t>
        </is>
      </c>
      <c r="E22" s="4" t="inlineStr">
        <is>
          <t>Groß &amp; Gelegentlich</t>
        </is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</row>
    <row r="23">
      <c r="A23" s="4" t="inlineStr">
        <is>
          <t>Kontaktstelle Beratung &amp; Freizeit</t>
        </is>
      </c>
      <c r="B23" s="4" t="inlineStr">
        <is>
          <t>Soziales</t>
        </is>
      </c>
      <c r="C23" s="4" t="inlineStr">
        <is>
          <t>Donaueschingen</t>
        </is>
      </c>
      <c r="D23" s="4" t="inlineStr">
        <is>
          <t>David.Mueller@Bruderhausdiakonie.de</t>
        </is>
      </c>
      <c r="E23" s="4" t="inlineStr">
        <is>
          <t>Groß &amp; Gelegentlich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</row>
    <row r="24">
      <c r="A24" s="4" t="inlineStr">
        <is>
          <t>Schulnetzwerk</t>
        </is>
      </c>
      <c r="B24" s="4" t="inlineStr">
        <is>
          <t>Bildung</t>
        </is>
      </c>
      <c r="C24" s="4" t="inlineStr">
        <is>
          <t>St. Georgen</t>
        </is>
      </c>
      <c r="D24" s="4" t="inlineStr">
        <is>
          <t>sekretariat@rsstg.de</t>
        </is>
      </c>
      <c r="E24" s="4" t="inlineStr">
        <is>
          <t>Groß &amp; Gelegentlich</t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</row>
    <row r="25">
      <c r="A25" s="4" t="inlineStr">
        <is>
          <t>AWO Kinder- und Jugendhilfe</t>
        </is>
      </c>
      <c r="B25" s="4" t="inlineStr">
        <is>
          <t>Soziales</t>
        </is>
      </c>
      <c r="C25" s="4" t="inlineStr">
        <is>
          <t>Villingen-Schwenningen</t>
        </is>
      </c>
      <c r="D25" s="4" t="inlineStr">
        <is>
          <t>s.brunner@awo-ov-vs.de</t>
        </is>
      </c>
      <c r="E25" s="4" t="inlineStr">
        <is>
          <t>Groß &amp; Gelegentlich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</row>
    <row r="26">
      <c r="A26" s="4" t="inlineStr">
        <is>
          <t>DRK -- Psychosoziale Notfallvorsorge</t>
        </is>
      </c>
      <c r="B26" s="4" t="inlineStr">
        <is>
          <t>BOS</t>
        </is>
      </c>
      <c r="C26" s="4" t="inlineStr">
        <is>
          <t>Villingen-Schwenningen</t>
        </is>
      </c>
      <c r="D26" s="4" t="inlineStr">
        <is>
          <t>mail@psnv-sbk.de</t>
        </is>
      </c>
      <c r="E26" s="4" t="inlineStr">
        <is>
          <t>Groß &amp; Gelegentlich</t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</row>
    <row r="27">
      <c r="A27" s="4" t="inlineStr">
        <is>
          <t>Projekt Bewegte Schule -- Dom-Clemente-Schule</t>
        </is>
      </c>
      <c r="B27" s="4" t="inlineStr">
        <is>
          <t>Sportangebot</t>
        </is>
      </c>
      <c r="C27" s="4" t="inlineStr">
        <is>
          <t>Schonach</t>
        </is>
      </c>
      <c r="D27" s="4" t="inlineStr">
        <is>
          <t>d.tritschler@schonach.de</t>
        </is>
      </c>
      <c r="E27" s="4" t="inlineStr">
        <is>
          <t>Groß &amp; Gelegentlich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</row>
    <row r="28">
      <c r="A28" s="4" t="inlineStr">
        <is>
          <t>Schönwälder Naturfreibad</t>
        </is>
      </c>
      <c r="B28" s="4" t="inlineStr">
        <is>
          <t>Sportstätte</t>
        </is>
      </c>
      <c r="C28" s="4" t="inlineStr">
        <is>
          <t>Schönwald</t>
        </is>
      </c>
      <c r="D28" s="4" t="inlineStr">
        <is>
          <t>mail@schoenwald.de</t>
        </is>
      </c>
      <c r="E28" s="4" t="inlineStr">
        <is>
          <t>Groß &amp; Gelegentlich</t>
        </is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</row>
    <row r="29">
      <c r="A29" s="4" t="inlineStr">
        <is>
          <t>Freibad Tannheim</t>
        </is>
      </c>
      <c r="B29" s="4" t="inlineStr">
        <is>
          <t>Sportstätte</t>
        </is>
      </c>
      <c r="C29" s="4" t="inlineStr">
        <is>
          <t>Tannheim</t>
        </is>
      </c>
      <c r="D29" s="4" t="inlineStr">
        <is>
          <t>info@freibad-tannheim.de</t>
        </is>
      </c>
      <c r="E29" s="4" t="inlineStr">
        <is>
          <t>Groß &amp; Gelegentlich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</row>
    <row r="30">
      <c r="A30" s="4" t="inlineStr">
        <is>
          <t>Deutscher Kinderschutzbund OV</t>
        </is>
      </c>
      <c r="B30" s="4" t="inlineStr">
        <is>
          <t>Soziales</t>
        </is>
      </c>
      <c r="C30" s="4" t="inlineStr">
        <is>
          <t>Furtwangen</t>
        </is>
      </c>
      <c r="D30" s="4" t="inlineStr">
        <is>
          <t>info@dksb-furtwangen.de</t>
        </is>
      </c>
      <c r="E30" s="4" t="inlineStr">
        <is>
          <t>Groß &amp; Gelegentlich</t>
        </is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</row>
    <row r="31">
      <c r="A31" s="4" t="inlineStr">
        <is>
          <t>BUND Ortsverband</t>
        </is>
      </c>
      <c r="B31" s="4" t="inlineStr">
        <is>
          <t>Umweltschutz</t>
        </is>
      </c>
      <c r="C31" s="4" t="inlineStr">
        <is>
          <t>Königsfeld</t>
        </is>
      </c>
      <c r="D31" s="4" t="inlineStr">
        <is>
          <t>bund.sbh@bund.net</t>
        </is>
      </c>
      <c r="E31" s="4" t="inlineStr">
        <is>
          <t>Groß &amp; Gelegentlich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</row>
    <row r="32">
      <c r="A32" s="4" t="inlineStr">
        <is>
          <t>Bundesverband Psychiatrie-Erfahrener e.V.</t>
        </is>
      </c>
      <c r="B32" s="4" t="inlineStr">
        <is>
          <t>Selbsthilfe</t>
        </is>
      </c>
      <c r="C32" s="4" t="inlineStr">
        <is>
          <t>Villingen-Schwenningen</t>
        </is>
      </c>
      <c r="D32" s="4" t="inlineStr">
        <is>
          <t>kontakt-info@bpe-online.de</t>
        </is>
      </c>
      <c r="E32" s="4" t="inlineStr">
        <is>
          <t>Klein &amp; Regelmäßig</t>
        </is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</row>
    <row r="33">
      <c r="A33" s="4" t="inlineStr">
        <is>
          <t>Jugendhaus Fürstenberg</t>
        </is>
      </c>
      <c r="B33" s="4" t="inlineStr">
        <is>
          <t>Kinder- &amp; Jugendarbeit</t>
        </is>
      </c>
      <c r="C33" s="4" t="inlineStr">
        <is>
          <t>Hüfingen</t>
        </is>
      </c>
      <c r="D33" s="4" t="inlineStr">
        <is>
          <t>Svenja.markowitsch@huefingen.de</t>
        </is>
      </c>
      <c r="E33" s="4" t="inlineStr">
        <is>
          <t>Klein &amp; Regelmäßig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</row>
    <row r="34">
      <c r="A34" s="4" t="inlineStr">
        <is>
          <t>Jugendtreff Hasen</t>
        </is>
      </c>
      <c r="B34" s="4" t="inlineStr">
        <is>
          <t>Kinder- &amp; Jugendarbeit</t>
        </is>
      </c>
      <c r="C34" s="4" t="inlineStr">
        <is>
          <t>Tuningen</t>
        </is>
      </c>
      <c r="D34" s="4" t="inlineStr">
        <is>
          <t>Jugendtreff-hasen@web.de</t>
        </is>
      </c>
      <c r="E34" s="4" t="inlineStr">
        <is>
          <t>Klein &amp; Regelmäßig</t>
        </is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  <row r="35">
      <c r="A35" s="4" t="inlineStr">
        <is>
          <t>Jugendclub Schabenhausen</t>
        </is>
      </c>
      <c r="B35" s="4" t="inlineStr">
        <is>
          <t>Kinder- &amp; Jugendarbeit</t>
        </is>
      </c>
      <c r="C35" s="4" t="inlineStr">
        <is>
          <t>Niedereschach</t>
        </is>
      </c>
      <c r="D35" s="4" t="inlineStr">
        <is>
          <t>info@jc-niederschach.de</t>
        </is>
      </c>
      <c r="E35" s="4" t="inlineStr">
        <is>
          <t>Klein &amp; Regelmäßig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  <row r="36">
      <c r="A36" s="4" t="inlineStr">
        <is>
          <t>Naturparkschule Josef-Hebting-Schule</t>
        </is>
      </c>
      <c r="B36" s="4" t="inlineStr">
        <is>
          <t>Natur</t>
        </is>
      </c>
      <c r="C36" s="4" t="inlineStr">
        <is>
          <t>Vöhrenbach</t>
        </is>
      </c>
      <c r="D36" s="4" t="inlineStr">
        <is>
          <t>sekretariat@jhs-voehrenbach.de</t>
        </is>
      </c>
      <c r="E36" s="4" t="inlineStr">
        <is>
          <t>Klein &amp; Regelmäßig</t>
        </is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</row>
    <row r="37">
      <c r="A37" s="4" t="inlineStr">
        <is>
          <t>Jugendhaus Blumberg</t>
        </is>
      </c>
      <c r="B37" s="4" t="inlineStr">
        <is>
          <t>Kinder- &amp; Jugendarbeit</t>
        </is>
      </c>
      <c r="C37" s="4" t="inlineStr">
        <is>
          <t>Blumberg</t>
        </is>
      </c>
      <c r="D37" s="4" t="inlineStr">
        <is>
          <t>sasa.hustic@stadt-blumberg.de</t>
        </is>
      </c>
      <c r="E37" s="4" t="inlineStr">
        <is>
          <t>Klein &amp; Regelmäßig</t>
        </is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</row>
    <row r="38">
      <c r="A38" s="4" t="inlineStr">
        <is>
          <t>Jugendhaus Behla</t>
        </is>
      </c>
      <c r="B38" s="4" t="inlineStr">
        <is>
          <t>Kinder- &amp; Jugendarbeit</t>
        </is>
      </c>
      <c r="C38" s="4" t="inlineStr">
        <is>
          <t>Hüfingen</t>
        </is>
      </c>
      <c r="D38" s="4" t="inlineStr">
        <is>
          <t>Svenja.markowitsch@huefingen.de</t>
        </is>
      </c>
      <c r="E38" s="4" t="inlineStr">
        <is>
          <t>Klein &amp; Regelmäßig</t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</row>
    <row r="39">
      <c r="A39" s="4" t="inlineStr">
        <is>
          <t>Generationentreff LEBENSWert</t>
        </is>
      </c>
      <c r="B39" s="4" t="inlineStr">
        <is>
          <t>Soziales</t>
        </is>
      </c>
      <c r="C39" s="4" t="inlineStr">
        <is>
          <t>Bad Dürrheim</t>
        </is>
      </c>
      <c r="D39" s="4" t="inlineStr">
        <is>
          <t>info@generationentreff-lebenswert.de</t>
        </is>
      </c>
      <c r="E39" s="4" t="inlineStr">
        <is>
          <t>Klein &amp; Regelmäßig</t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</row>
    <row r="40">
      <c r="A40" s="4" t="inlineStr">
        <is>
          <t>Jugendmusikschule -- Musikalische Früherziehung</t>
        </is>
      </c>
      <c r="B40" s="4" t="inlineStr">
        <is>
          <t>Musik</t>
        </is>
      </c>
      <c r="C40" s="4" t="inlineStr">
        <is>
          <t>Triberg</t>
        </is>
      </c>
      <c r="D40" s="4" t="inlineStr">
        <is>
          <t>jms@jugendmusikschulen.de</t>
        </is>
      </c>
      <c r="E40" s="4" t="inlineStr">
        <is>
          <t>Klein &amp; Regelmäßig</t>
        </is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</row>
    <row r="41">
      <c r="A41" s="4" t="inlineStr">
        <is>
          <t>Jugendtreff</t>
        </is>
      </c>
      <c r="B41" s="4" t="inlineStr">
        <is>
          <t>Kinder- &amp; Jugendarbeit</t>
        </is>
      </c>
      <c r="C41" s="4" t="inlineStr">
        <is>
          <t>Furtwangen</t>
        </is>
      </c>
      <c r="D41" s="4" t="inlineStr">
        <is>
          <t>Dmaute.stadt@furtwangen.de</t>
        </is>
      </c>
      <c r="E41" s="4" t="inlineStr">
        <is>
          <t>Klein &amp; Regelmäßig</t>
        </is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</row>
    <row r="42">
      <c r="A42" s="4" t="inlineStr">
        <is>
          <t>Reitsportgemeinschaft Gnadental</t>
        </is>
      </c>
      <c r="B42" s="4" t="inlineStr">
        <is>
          <t>Sportangebot</t>
        </is>
      </c>
      <c r="C42" s="4" t="inlineStr">
        <is>
          <t>Donaueschingen</t>
        </is>
      </c>
      <c r="D42" s="4" t="inlineStr">
        <is>
          <t>(Tel. 0771 61723)</t>
        </is>
      </c>
      <c r="E42" s="4" t="inlineStr">
        <is>
          <t>Klein &amp; Regelmäßig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</row>
    <row r="43">
      <c r="A43" s="4" t="inlineStr">
        <is>
          <t>Reit- und Fahrverein Donaueschingen e.V.</t>
        </is>
      </c>
      <c r="B43" s="4" t="inlineStr">
        <is>
          <t>Sportangebot</t>
        </is>
      </c>
      <c r="C43" s="4" t="inlineStr">
        <is>
          <t>Donaueschingen</t>
        </is>
      </c>
      <c r="D43" s="4" t="inlineStr">
        <is>
          <t>vorstand1@ruf-donaueschingen.de</t>
        </is>
      </c>
      <c r="E43" s="4" t="inlineStr">
        <is>
          <t>Klein &amp; Regelmäßig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</row>
    <row r="44">
      <c r="A44" s="4" t="inlineStr">
        <is>
          <t>Jugendhaus Bohrturm</t>
        </is>
      </c>
      <c r="B44" s="4" t="inlineStr">
        <is>
          <t>Kinder- &amp; Jugendarbeit</t>
        </is>
      </c>
      <c r="C44" s="4" t="inlineStr">
        <is>
          <t>Bad Dürrheim</t>
        </is>
      </c>
      <c r="D44" s="4" t="inlineStr">
        <is>
          <t>jugendhaus@bad-duerrheim.de</t>
        </is>
      </c>
      <c r="E44" s="4" t="inlineStr">
        <is>
          <t>Klein &amp; Regelmäßig</t>
        </is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</row>
    <row r="45">
      <c r="A45" s="4" t="inlineStr">
        <is>
          <t>Jugendhaus Hüfingen</t>
        </is>
      </c>
      <c r="B45" s="4" t="inlineStr">
        <is>
          <t>Kinder- &amp; Jugendarbeit</t>
        </is>
      </c>
      <c r="C45" s="4" t="inlineStr">
        <is>
          <t>Hüfingen</t>
        </is>
      </c>
      <c r="D45" s="4" t="inlineStr">
        <is>
          <t>Svenja.markowitsch@huefingen.de</t>
        </is>
      </c>
      <c r="E45" s="4" t="inlineStr">
        <is>
          <t>Klein &amp; Regelmäßig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</row>
    <row r="46">
      <c r="A46" s="4" t="inlineStr">
        <is>
          <t>Initiative Gesund leben in St. Georgen</t>
        </is>
      </c>
      <c r="B46" s="4" t="inlineStr">
        <is>
          <t>Prävention</t>
        </is>
      </c>
      <c r="C46" s="4" t="inlineStr">
        <is>
          <t>St. Georgen</t>
        </is>
      </c>
      <c r="D46" s="4" t="inlineStr">
        <is>
          <t>(Keine Mail gefunden)</t>
        </is>
      </c>
      <c r="E46" s="4" t="inlineStr">
        <is>
          <t>Klein &amp; Gelegentlich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</row>
    <row r="47">
      <c r="A47" s="4" t="inlineStr">
        <is>
          <t>Blaues Kreuz in Deutschland e.V.</t>
        </is>
      </c>
      <c r="B47" s="4" t="inlineStr">
        <is>
          <t>Prävention</t>
        </is>
      </c>
      <c r="C47" s="4" t="inlineStr">
        <is>
          <t>St. Georgen</t>
        </is>
      </c>
      <c r="D47" s="4" t="inlineStr">
        <is>
          <t>b.becker@bluprevent.de</t>
        </is>
      </c>
      <c r="E47" s="4" t="inlineStr">
        <is>
          <t>Klein &amp; Gelegentlich</t>
        </is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</row>
    <row r="48">
      <c r="A48" s="4" t="inlineStr">
        <is>
          <t>Kegel Sport Club Brigachtal</t>
        </is>
      </c>
      <c r="B48" s="4" t="inlineStr">
        <is>
          <t>Sportangebot</t>
        </is>
      </c>
      <c r="C48" s="4" t="inlineStr">
        <is>
          <t>Brigachtal</t>
        </is>
      </c>
      <c r="D48" s="4" t="inlineStr">
        <is>
          <t>Gunnar.tr@web.de</t>
        </is>
      </c>
      <c r="E48" s="4" t="inlineStr">
        <is>
          <t>Klein &amp; Gelegentlich</t>
        </is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</row>
    <row r="49">
      <c r="A49" s="4" t="inlineStr">
        <is>
          <t>Fischereigemeinschaft Gütenbach</t>
        </is>
      </c>
      <c r="B49" s="4" t="inlineStr">
        <is>
          <t>Sportangebot</t>
        </is>
      </c>
      <c r="C49" s="4" t="inlineStr">
        <is>
          <t>Gütenbach</t>
        </is>
      </c>
      <c r="D49" s="4" t="inlineStr">
        <is>
          <t>info@guetenbach.de</t>
        </is>
      </c>
      <c r="E49" s="4" t="inlineStr">
        <is>
          <t>Klein &amp; Gelegentlich</t>
        </is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</row>
    <row r="50">
      <c r="A50" s="4" t="inlineStr">
        <is>
          <t>Sportkegelclub Kegelfreunde Unterkirnach</t>
        </is>
      </c>
      <c r="B50" s="4" t="inlineStr">
        <is>
          <t>Sportangebot</t>
        </is>
      </c>
      <c r="C50" s="4" t="inlineStr">
        <is>
          <t>Unterkirnach</t>
        </is>
      </c>
      <c r="D50" s="4" t="inlineStr">
        <is>
          <t>vorstand.skckegelfreundeunterkirnach@gmx.de</t>
        </is>
      </c>
      <c r="E50" s="4" t="inlineStr">
        <is>
          <t>Klein &amp; Gelegentlich</t>
        </is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</row>
    <row r="51">
      <c r="A51" s="4" t="inlineStr">
        <is>
          <t>Harmonikaverein &amp; Josef-Hebting-Schule</t>
        </is>
      </c>
      <c r="B51" s="4" t="inlineStr">
        <is>
          <t>Musik</t>
        </is>
      </c>
      <c r="C51" s="4" t="inlineStr">
        <is>
          <t>Vöhrenbach</t>
        </is>
      </c>
      <c r="D51" s="4" t="inlineStr">
        <is>
          <t>marinaguenter@gmx.de</t>
        </is>
      </c>
      <c r="E51" s="4" t="inlineStr">
        <is>
          <t>Klein &amp; Gelegentlich</t>
        </is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</row>
    <row r="52">
      <c r="A52" s="4" t="inlineStr">
        <is>
          <t>VHS Tuningen</t>
        </is>
      </c>
      <c r="B52" s="4" t="inlineStr">
        <is>
          <t>Bildung</t>
        </is>
      </c>
      <c r="C52" s="4" t="inlineStr">
        <is>
          <t>Tuningen</t>
        </is>
      </c>
      <c r="D52" s="4" t="inlineStr">
        <is>
          <t>vhs@villingen-schwenningen.de</t>
        </is>
      </c>
      <c r="E52" s="4" t="inlineStr">
        <is>
          <t>Klein &amp; Gelegentlich</t>
        </is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</row>
    <row r="53">
      <c r="A53" s="4" t="inlineStr">
        <is>
          <t>Feuerwehr Schonach</t>
        </is>
      </c>
      <c r="B53" s="4" t="inlineStr">
        <is>
          <t>BOS</t>
        </is>
      </c>
      <c r="C53" s="4" t="inlineStr">
        <is>
          <t>Schonach</t>
        </is>
      </c>
      <c r="D53" s="4" t="inlineStr">
        <is>
          <t>ts@feuerwehr-schonach.de</t>
        </is>
      </c>
      <c r="E53" s="4" t="inlineStr">
        <is>
          <t>Klein &amp; Gelegentlich</t>
        </is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</row>
    <row r="54">
      <c r="A54" s="4" t="inlineStr">
        <is>
          <t>Städtischer Familienpass</t>
        </is>
      </c>
      <c r="B54" s="4" t="inlineStr">
        <is>
          <t>Kinder- &amp; Jugendarbeit</t>
        </is>
      </c>
      <c r="C54" s="4" t="inlineStr">
        <is>
          <t>Bräunlingen</t>
        </is>
      </c>
      <c r="D54" s="4" t="inlineStr">
        <is>
          <t>Stephanie.engesser@braeunlingen.de</t>
        </is>
      </c>
      <c r="E54" s="4" t="inlineStr">
        <is>
          <t>Klein &amp; Gelegentlich</t>
        </is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</row>
    <row r="55">
      <c r="A55" s="4" t="inlineStr">
        <is>
          <t>SBBZ Weiherdammschule</t>
        </is>
      </c>
      <c r="B55" s="4" t="inlineStr">
        <is>
          <t>Bildung / Beratung</t>
        </is>
      </c>
      <c r="C55" s="4" t="inlineStr">
        <is>
          <t>Blumberg</t>
        </is>
      </c>
      <c r="D55" s="4" t="inlineStr">
        <is>
          <t>info@weiherdammschule-blumberg.de</t>
        </is>
      </c>
      <c r="E55" s="4" t="inlineStr">
        <is>
          <t>Klein &amp; Gelegentlich</t>
        </is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</row>
    <row r="56">
      <c r="A56" s="4" t="inlineStr">
        <is>
          <t>Schulsozialarbeit GMS Eschach-Neckar</t>
        </is>
      </c>
      <c r="B56" s="4" t="inlineStr">
        <is>
          <t>Kinder- &amp; Jugendarbeit</t>
        </is>
      </c>
      <c r="C56" s="4" t="inlineStr">
        <is>
          <t>Niedereschach</t>
        </is>
      </c>
      <c r="D56" s="4" t="inlineStr">
        <is>
          <t>d_storz@lfa.org</t>
        </is>
      </c>
      <c r="E56" s="4" t="inlineStr">
        <is>
          <t>Klein &amp; Gelegentlich</t>
        </is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</row>
    <row r="57">
      <c r="A57" s="4" t="inlineStr">
        <is>
          <t>Sportkegelclub Rot-Weiß Unterkirnach</t>
        </is>
      </c>
      <c r="B57" s="4" t="inlineStr">
        <is>
          <t>Sportangebot</t>
        </is>
      </c>
      <c r="C57" s="4" t="inlineStr">
        <is>
          <t>Unterkirnach</t>
        </is>
      </c>
      <c r="D57" s="4" t="inlineStr">
        <is>
          <t>michaelstorzukn@t-online.de</t>
        </is>
      </c>
      <c r="E57" s="4" t="inlineStr">
        <is>
          <t>Klein &amp; Gelegentlich</t>
        </is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</row>
    <row r="58">
      <c r="A58" s="4" t="inlineStr">
        <is>
          <t>Trachtenkapelle Buchenberg</t>
        </is>
      </c>
      <c r="B58" s="4" t="inlineStr">
        <is>
          <t>Musik</t>
        </is>
      </c>
      <c r="C58" s="4" t="inlineStr">
        <is>
          <t>Königsfeld</t>
        </is>
      </c>
      <c r="D58" s="4" t="inlineStr">
        <is>
          <t>tk-buchenberg@t-online.de</t>
        </is>
      </c>
      <c r="E58" s="4" t="inlineStr">
        <is>
          <t>Klein &amp; Gelegentlich</t>
        </is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</row>
  </sheetData>
  <autoFilter ref="A4:P58"/>
  <conditionalFormatting sqref="F5:F154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3">
    <dataValidation sqref="F5:F154" showDropDown="0" showInputMessage="0" showErrorMessage="0" allowBlank="1" type="list">
      <formula1>"Kontaktiert,Nachfragen,Zusage,Terminiert,Durchgeführt,Abgeschlossen,Absage"</formula1>
    </dataValidation>
    <dataValidation sqref="H5:I154" showDropDown="0" showInputMessage="0" showErrorMessage="0" allowBlank="1" type="list">
      <formula1>"Nadine Beha,Sophie Scheffler,Andreas Braxmeier,Ragavi Anusujantha"</formula1>
    </dataValidation>
    <dataValidation sqref="M5:M154" showDropDown="0" showInputMessage="0" showErrorMessage="0" allowBlank="1" type="list">
      <formula1>"Zoom,Präsenz,Telefon,Teams,Sonstiges"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5" customWidth="1" min="14" max="14"/>
    <col width="40" customWidth="1" min="15" max="15"/>
    <col width="20" customWidth="1" min="16" max="16"/>
  </cols>
  <sheetData>
    <row r="1">
      <c r="A1" s="2" t="inlineStr">
        <is>
          <t>GROSS &amp; REGELMÄSSIG</t>
        </is>
      </c>
      <c r="B1" t="inlineStr">
        <is>
          <t>Anzahl: 13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Lead</t>
        </is>
      </c>
      <c r="I4" s="8" t="inlineStr">
        <is>
          <t>Co-Interviewer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Katholisches Familienzentrum St. Konrad</t>
        </is>
      </c>
      <c r="B5" s="4" t="inlineStr">
        <is>
          <t>Soziales / Selbsthilfe</t>
        </is>
      </c>
      <c r="C5" s="4" t="inlineStr">
        <is>
          <t>Villingen-Schwenningen</t>
        </is>
      </c>
      <c r="D5" s="4" t="inlineStr">
        <is>
          <t>kontakt@familienzentrum-stkonrad.de</t>
        </is>
      </c>
      <c r="E5" s="4" t="inlineStr">
        <is>
          <t>Groß &amp; Regelmäßig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>
      <c r="A6" s="4" t="inlineStr">
        <is>
          <t>Ago e.V.</t>
        </is>
      </c>
      <c r="B6" s="4" t="inlineStr">
        <is>
          <t>Prävention</t>
        </is>
      </c>
      <c r="C6" s="4" t="inlineStr">
        <is>
          <t>Donaueschingen</t>
        </is>
      </c>
      <c r="D6" s="4" t="inlineStr">
        <is>
          <t>info@verein-ago.de</t>
        </is>
      </c>
      <c r="E6" s="4" t="inlineStr">
        <is>
          <t>Groß &amp; Regelmäßig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4" t="inlineStr">
        <is>
          <t>Psychologische Beratungsstelle Ev./Kath. Kirche</t>
        </is>
      </c>
      <c r="B7" s="4" t="inlineStr">
        <is>
          <t>Beratung</t>
        </is>
      </c>
      <c r="C7" s="4" t="inlineStr">
        <is>
          <t>Villingen-Schwenningen</t>
        </is>
      </c>
      <c r="D7" s="4" t="inlineStr">
        <is>
          <t>gemeindebuero.schwenningen@elk-wue.de</t>
        </is>
      </c>
      <c r="E7" s="4" t="inlineStr">
        <is>
          <t>Groß &amp; Regelmäßig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>
      <c r="A8" s="4" t="inlineStr">
        <is>
          <t>Sommerrainschule St. Georgen -- Sportangebote</t>
        </is>
      </c>
      <c r="B8" s="4" t="inlineStr">
        <is>
          <t>Sportangebot</t>
        </is>
      </c>
      <c r="C8" s="4" t="inlineStr">
        <is>
          <t>St. Georgen</t>
        </is>
      </c>
      <c r="D8" s="4" t="inlineStr">
        <is>
          <t>sbbz-st.georgen@t-online.de</t>
        </is>
      </c>
      <c r="E8" s="4" t="inlineStr">
        <is>
          <t>Groß &amp; Regelmäßig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inlineStr">
        <is>
          <t>Kinderfeuerwehr St. Georgen</t>
        </is>
      </c>
      <c r="B9" s="4" t="inlineStr">
        <is>
          <t>BOS</t>
        </is>
      </c>
      <c r="C9" s="4" t="inlineStr">
        <is>
          <t>St. Georgen</t>
        </is>
      </c>
      <c r="D9" s="4" t="inlineStr">
        <is>
          <t>info@feuerwehr-st-georgen.de</t>
        </is>
      </c>
      <c r="E9" s="4" t="inlineStr">
        <is>
          <t>Groß &amp; Regelmäßig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4" t="inlineStr">
        <is>
          <t>Neckarschule -- Klasse 2000</t>
        </is>
      </c>
      <c r="B10" s="4" t="inlineStr">
        <is>
          <t>Prävention</t>
        </is>
      </c>
      <c r="C10" s="4" t="inlineStr">
        <is>
          <t>Villingen-Schwenningen</t>
        </is>
      </c>
      <c r="D10" s="4" t="inlineStr">
        <is>
          <t>neckarschule@villingen-schwenningen.de</t>
        </is>
      </c>
      <c r="E10" s="4" t="inlineStr">
        <is>
          <t>Groß &amp; Regelmäßig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4" t="inlineStr">
        <is>
          <t>Georg Müller Grund- und Realschule -- Präventionskonzept</t>
        </is>
      </c>
      <c r="B11" s="4" t="inlineStr">
        <is>
          <t>Prävention</t>
        </is>
      </c>
      <c r="C11" s="4" t="inlineStr">
        <is>
          <t>Villingen-Schwenningen</t>
        </is>
      </c>
      <c r="D11" s="4" t="inlineStr">
        <is>
          <t>info@gmsvs.de</t>
        </is>
      </c>
      <c r="E11" s="4" t="inlineStr">
        <is>
          <t>Groß &amp; Regelmäßig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>
      <c r="A12" s="4" t="inlineStr">
        <is>
          <t>Caritas Schwangerschaftsberatung</t>
        </is>
      </c>
      <c r="B12" s="4" t="inlineStr">
        <is>
          <t>Beratung</t>
        </is>
      </c>
      <c r="C12" s="4" t="inlineStr">
        <is>
          <t>Villingen-Schwenningen</t>
        </is>
      </c>
      <c r="D12" s="4" t="inlineStr">
        <is>
          <t>info@caritas-sbk.de</t>
        </is>
      </c>
      <c r="E12" s="4" t="inlineStr">
        <is>
          <t>Groß &amp; Regelmäßig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>
      <c r="A13" s="4" t="inlineStr">
        <is>
          <t>Sozialpsychiatrischer Dienst (Caritas)</t>
        </is>
      </c>
      <c r="B13" s="4" t="inlineStr">
        <is>
          <t>Soziales</t>
        </is>
      </c>
      <c r="C13" s="4" t="inlineStr">
        <is>
          <t>Villingen-Schwenningen</t>
        </is>
      </c>
      <c r="D13" s="4" t="inlineStr">
        <is>
          <t>elke.schwarz@caritas-sbk.de</t>
        </is>
      </c>
      <c r="E13" s="4" t="inlineStr">
        <is>
          <t>Groß &amp; Regelmäßig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>
      <c r="A14" s="4" t="inlineStr">
        <is>
          <t>Malteser Hilfsdienst -- Psychosoziale Notfallvorsorge</t>
        </is>
      </c>
      <c r="B14" s="4" t="inlineStr">
        <is>
          <t>BOS</t>
        </is>
      </c>
      <c r="C14" s="4" t="inlineStr">
        <is>
          <t>Villingen-Schwenningen</t>
        </is>
      </c>
      <c r="D14" s="4" t="inlineStr">
        <is>
          <t>Rainer.Kuehl@malteser.org</t>
        </is>
      </c>
      <c r="E14" s="4" t="inlineStr">
        <is>
          <t>Groß &amp; Regelmäßig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4" t="inlineStr">
        <is>
          <t>AWO Haus der Kinder</t>
        </is>
      </c>
      <c r="B15" s="4" t="inlineStr">
        <is>
          <t>Betreuung</t>
        </is>
      </c>
      <c r="C15" s="4" t="inlineStr">
        <is>
          <t>Villingen-Schwenningen</t>
        </is>
      </c>
      <c r="D15" s="4" t="inlineStr">
        <is>
          <t>hausderkinder@awo-ov-vs.de</t>
        </is>
      </c>
      <c r="E15" s="4" t="inlineStr">
        <is>
          <t>Groß &amp; Regelmäßig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>
      <c r="A16" s="4" t="inlineStr">
        <is>
          <t>Pro Familia Villingen-Schwenningen</t>
        </is>
      </c>
      <c r="B16" s="4" t="inlineStr">
        <is>
          <t>Beratung</t>
        </is>
      </c>
      <c r="C16" s="4" t="inlineStr">
        <is>
          <t>Villingen-Schwenningen</t>
        </is>
      </c>
      <c r="D16" s="4" t="inlineStr">
        <is>
          <t>vs-villingen@profamilia.de</t>
        </is>
      </c>
      <c r="E16" s="4" t="inlineStr">
        <is>
          <t>Groß &amp; Regelmäßig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>
      <c r="A17" s="4" t="inlineStr">
        <is>
          <t>Sportangebot Öfingen 1969</t>
        </is>
      </c>
      <c r="B17" s="4" t="inlineStr">
        <is>
          <t>Sportangebot</t>
        </is>
      </c>
      <c r="C17" s="4" t="inlineStr">
        <is>
          <t>Bad Dürrheim</t>
        </is>
      </c>
      <c r="D17" s="4" t="inlineStr">
        <is>
          <t>jugend@sv-oefingen.de</t>
        </is>
      </c>
      <c r="E17" s="4" t="inlineStr">
        <is>
          <t>Groß &amp; Regelmäßig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</sheetData>
  <autoFilter ref="A4:P17"/>
  <conditionalFormatting sqref="F5:F113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3">
    <dataValidation sqref="F5:F113" showDropDown="0" showInputMessage="0" showErrorMessage="0" allowBlank="1" type="list">
      <formula1>"Kontaktiert,Nachfragen,Zusage,Terminiert,Durchgeführt,Abgeschlossen,Absage"</formula1>
    </dataValidation>
    <dataValidation sqref="H5:I113" showDropDown="0" showInputMessage="0" showErrorMessage="0" allowBlank="1" type="list">
      <formula1>"Nadine Beha,Sophie Scheffler,Andreas Braxmeier,Ragavi Anusujantha"</formula1>
    </dataValidation>
    <dataValidation sqref="M5:M113" showDropDown="0" showInputMessage="0" showErrorMessage="0" allowBlank="1" type="list">
      <formula1>"Zoom,Präsenz,Telefon,Teams,Sonstiges"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5" customWidth="1" min="14" max="14"/>
    <col width="40" customWidth="1" min="15" max="15"/>
    <col width="20" customWidth="1" min="16" max="16"/>
  </cols>
  <sheetData>
    <row r="1">
      <c r="A1" s="2" t="inlineStr">
        <is>
          <t>GROSS &amp; GELEGENTLICH</t>
        </is>
      </c>
      <c r="B1" t="inlineStr">
        <is>
          <t>Anzahl: 14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Lead</t>
        </is>
      </c>
      <c r="I4" s="8" t="inlineStr">
        <is>
          <t>Co-Interviewer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BEKJ Villingen-Schwenningen</t>
        </is>
      </c>
      <c r="B5" s="4" t="inlineStr">
        <is>
          <t>Beratung</t>
        </is>
      </c>
      <c r="C5" s="4" t="inlineStr">
        <is>
          <t>Villingen-Schwenningen</t>
        </is>
      </c>
      <c r="D5" s="4" t="inlineStr">
        <is>
          <t>beratungsstelle-bekj-fw@Lrasbk.de</t>
        </is>
      </c>
      <c r="E5" s="4" t="inlineStr">
        <is>
          <t>Groß &amp; Gelegentlich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>
      <c r="A6" s="4" t="inlineStr">
        <is>
          <t>Polizei Triberg -- Präventionsvorträge</t>
        </is>
      </c>
      <c r="B6" s="4" t="inlineStr">
        <is>
          <t>Prävention</t>
        </is>
      </c>
      <c r="C6" s="4" t="inlineStr">
        <is>
          <t>Triberg</t>
        </is>
      </c>
      <c r="D6" s="4" t="inlineStr">
        <is>
          <t>Keine E-Mail!</t>
        </is>
      </c>
      <c r="E6" s="4" t="inlineStr">
        <is>
          <t>Groß &amp; Gelegentlich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4" t="inlineStr">
        <is>
          <t>Schwarzwald-Gymnasium</t>
        </is>
      </c>
      <c r="B7" s="4" t="inlineStr">
        <is>
          <t>Beratung</t>
        </is>
      </c>
      <c r="C7" s="4" t="inlineStr">
        <is>
          <t>Triberg</t>
        </is>
      </c>
      <c r="D7" s="4" t="inlineStr">
        <is>
          <t>rf@schwarzwald-gymnasium.de</t>
        </is>
      </c>
      <c r="E7" s="4" t="inlineStr">
        <is>
          <t>Groß &amp; Gelegentlich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>
      <c r="A8" s="4" t="inlineStr">
        <is>
          <t>Lernort Natur -- Jägervereinigung SBK</t>
        </is>
      </c>
      <c r="B8" s="4" t="inlineStr">
        <is>
          <t>Natur</t>
        </is>
      </c>
      <c r="C8" s="4" t="inlineStr">
        <is>
          <t>SBK</t>
        </is>
      </c>
      <c r="D8" s="4" t="inlineStr">
        <is>
          <t>kjm-kjv-sbk@outlook.de</t>
        </is>
      </c>
      <c r="E8" s="4" t="inlineStr">
        <is>
          <t>Groß &amp; Gelegentlich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inlineStr">
        <is>
          <t>Naturfreunde</t>
        </is>
      </c>
      <c r="B9" s="4" t="inlineStr">
        <is>
          <t>Umweltschutz</t>
        </is>
      </c>
      <c r="C9" s="4" t="inlineStr">
        <is>
          <t>Bräunlingen</t>
        </is>
      </c>
      <c r="D9" s="4" t="inlineStr">
        <is>
          <t>naturfreunde-braeunlingen@gmx.de</t>
        </is>
      </c>
      <c r="E9" s="4" t="inlineStr">
        <is>
          <t>Groß &amp; Gelegentlich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4" t="inlineStr">
        <is>
          <t>Kontaktstelle Beratung &amp; Freizeit</t>
        </is>
      </c>
      <c r="B10" s="4" t="inlineStr">
        <is>
          <t>Soziales</t>
        </is>
      </c>
      <c r="C10" s="4" t="inlineStr">
        <is>
          <t>Donaueschingen</t>
        </is>
      </c>
      <c r="D10" s="4" t="inlineStr">
        <is>
          <t>David.Mueller@Bruderhausdiakonie.de</t>
        </is>
      </c>
      <c r="E10" s="4" t="inlineStr">
        <is>
          <t>Groß &amp; Gelegentlich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4" t="inlineStr">
        <is>
          <t>Schulnetzwerk</t>
        </is>
      </c>
      <c r="B11" s="4" t="inlineStr">
        <is>
          <t>Bildung</t>
        </is>
      </c>
      <c r="C11" s="4" t="inlineStr">
        <is>
          <t>St. Georgen</t>
        </is>
      </c>
      <c r="D11" s="4" t="inlineStr">
        <is>
          <t>sekretariat@rsstg.de</t>
        </is>
      </c>
      <c r="E11" s="4" t="inlineStr">
        <is>
          <t>Groß &amp; Gelegentlich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>
      <c r="A12" s="4" t="inlineStr">
        <is>
          <t>AWO Kinder- und Jugendhilfe</t>
        </is>
      </c>
      <c r="B12" s="4" t="inlineStr">
        <is>
          <t>Soziales</t>
        </is>
      </c>
      <c r="C12" s="4" t="inlineStr">
        <is>
          <t>Villingen-Schwenningen</t>
        </is>
      </c>
      <c r="D12" s="4" t="inlineStr">
        <is>
          <t>s.brunner@awo-ov-vs.de</t>
        </is>
      </c>
      <c r="E12" s="4" t="inlineStr">
        <is>
          <t>Groß &amp; Gelegentlich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>
      <c r="A13" s="4" t="inlineStr">
        <is>
          <t>DRK -- Psychosoziale Notfallvorsorge</t>
        </is>
      </c>
      <c r="B13" s="4" t="inlineStr">
        <is>
          <t>BOS</t>
        </is>
      </c>
      <c r="C13" s="4" t="inlineStr">
        <is>
          <t>Villingen-Schwenningen</t>
        </is>
      </c>
      <c r="D13" s="4" t="inlineStr">
        <is>
          <t>mail@psnv-sbk.de</t>
        </is>
      </c>
      <c r="E13" s="4" t="inlineStr">
        <is>
          <t>Groß &amp; Gelegentlich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>
      <c r="A14" s="4" t="inlineStr">
        <is>
          <t>Projekt Bewegte Schule -- Dom-Clemente-Schule</t>
        </is>
      </c>
      <c r="B14" s="4" t="inlineStr">
        <is>
          <t>Sportangebot</t>
        </is>
      </c>
      <c r="C14" s="4" t="inlineStr">
        <is>
          <t>Schonach</t>
        </is>
      </c>
      <c r="D14" s="4" t="inlineStr">
        <is>
          <t>d.tritschler@schonach.de</t>
        </is>
      </c>
      <c r="E14" s="4" t="inlineStr">
        <is>
          <t>Groß &amp; Gelegentlich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4" t="inlineStr">
        <is>
          <t>Schönwälder Naturfreibad</t>
        </is>
      </c>
      <c r="B15" s="4" t="inlineStr">
        <is>
          <t>Sportstätte</t>
        </is>
      </c>
      <c r="C15" s="4" t="inlineStr">
        <is>
          <t>Schönwald</t>
        </is>
      </c>
      <c r="D15" s="4" t="inlineStr">
        <is>
          <t>mail@schoenwald.de</t>
        </is>
      </c>
      <c r="E15" s="4" t="inlineStr">
        <is>
          <t>Groß &amp; Gelegentlich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>
      <c r="A16" s="4" t="inlineStr">
        <is>
          <t>Freibad Tannheim</t>
        </is>
      </c>
      <c r="B16" s="4" t="inlineStr">
        <is>
          <t>Sportstätte</t>
        </is>
      </c>
      <c r="C16" s="4" t="inlineStr">
        <is>
          <t>Tannheim</t>
        </is>
      </c>
      <c r="D16" s="4" t="inlineStr">
        <is>
          <t>info@freibad-tannheim.de</t>
        </is>
      </c>
      <c r="E16" s="4" t="inlineStr">
        <is>
          <t>Groß &amp; Gelegentlich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>
      <c r="A17" s="4" t="inlineStr">
        <is>
          <t>Deutscher Kinderschutzbund OV</t>
        </is>
      </c>
      <c r="B17" s="4" t="inlineStr">
        <is>
          <t>Soziales</t>
        </is>
      </c>
      <c r="C17" s="4" t="inlineStr">
        <is>
          <t>Furtwangen</t>
        </is>
      </c>
      <c r="D17" s="4" t="inlineStr">
        <is>
          <t>info@dksb-furtwangen.de</t>
        </is>
      </c>
      <c r="E17" s="4" t="inlineStr">
        <is>
          <t>Groß &amp; Gelegentlich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>
      <c r="A18" s="4" t="inlineStr">
        <is>
          <t>BUND Ortsverband</t>
        </is>
      </c>
      <c r="B18" s="4" t="inlineStr">
        <is>
          <t>Umweltschutz</t>
        </is>
      </c>
      <c r="C18" s="4" t="inlineStr">
        <is>
          <t>Königsfeld</t>
        </is>
      </c>
      <c r="D18" s="4" t="inlineStr">
        <is>
          <t>bund.sbh@bund.net</t>
        </is>
      </c>
      <c r="E18" s="4" t="inlineStr">
        <is>
          <t>Groß &amp; Gelegentlich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</sheetData>
  <autoFilter ref="A4:P18"/>
  <conditionalFormatting sqref="F5:F114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3">
    <dataValidation sqref="F5:F114" showDropDown="0" showInputMessage="0" showErrorMessage="0" allowBlank="1" type="list">
      <formula1>"Kontaktiert,Nachfragen,Zusage,Terminiert,Durchgeführt,Abgeschlossen,Absage"</formula1>
    </dataValidation>
    <dataValidation sqref="H5:I114" showDropDown="0" showInputMessage="0" showErrorMessage="0" allowBlank="1" type="list">
      <formula1>"Nadine Beha,Sophie Scheffler,Andreas Braxmeier,Ragavi Anusujantha"</formula1>
    </dataValidation>
    <dataValidation sqref="M5:M114" showDropDown="0" showInputMessage="0" showErrorMessage="0" allowBlank="1" type="list">
      <formula1>"Zoom,Präsenz,Telefon,Teams,Sonstiges"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5" customWidth="1" min="14" max="14"/>
    <col width="40" customWidth="1" min="15" max="15"/>
    <col width="20" customWidth="1" min="16" max="16"/>
  </cols>
  <sheetData>
    <row r="1">
      <c r="A1" s="2" t="inlineStr">
        <is>
          <t>KLEIN &amp; REGELMÄSSIG</t>
        </is>
      </c>
      <c r="B1" t="inlineStr">
        <is>
          <t>Anzahl: 14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Lead</t>
        </is>
      </c>
      <c r="I4" s="8" t="inlineStr">
        <is>
          <t>Co-Interviewer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Bundesverband Psychiatrie-Erfahrener e.V.</t>
        </is>
      </c>
      <c r="B5" s="4" t="inlineStr">
        <is>
          <t>Selbsthilfe</t>
        </is>
      </c>
      <c r="C5" s="4" t="inlineStr">
        <is>
          <t>Villingen-Schwenningen</t>
        </is>
      </c>
      <c r="D5" s="4" t="inlineStr">
        <is>
          <t>kontakt-info@bpe-online.de</t>
        </is>
      </c>
      <c r="E5" s="4" t="inlineStr">
        <is>
          <t>Klein &amp; Regelmäßig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>
      <c r="A6" s="4" t="inlineStr">
        <is>
          <t>Jugendhaus Fürstenberg</t>
        </is>
      </c>
      <c r="B6" s="4" t="inlineStr">
        <is>
          <t>Kinder- &amp; Jugendarbeit</t>
        </is>
      </c>
      <c r="C6" s="4" t="inlineStr">
        <is>
          <t>Hüfingen</t>
        </is>
      </c>
      <c r="D6" s="4" t="inlineStr">
        <is>
          <t>Svenja.markowitsch@huefingen.de</t>
        </is>
      </c>
      <c r="E6" s="4" t="inlineStr">
        <is>
          <t>Klein &amp; Regelmäßig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4" t="inlineStr">
        <is>
          <t>Jugendtreff Hasen</t>
        </is>
      </c>
      <c r="B7" s="4" t="inlineStr">
        <is>
          <t>Kinder- &amp; Jugendarbeit</t>
        </is>
      </c>
      <c r="C7" s="4" t="inlineStr">
        <is>
          <t>Tuningen</t>
        </is>
      </c>
      <c r="D7" s="4" t="inlineStr">
        <is>
          <t>Jugendtreff-hasen@web.de</t>
        </is>
      </c>
      <c r="E7" s="4" t="inlineStr">
        <is>
          <t>Klein &amp; Regelmäßig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>
      <c r="A8" s="4" t="inlineStr">
        <is>
          <t>Jugendclub Schabenhausen</t>
        </is>
      </c>
      <c r="B8" s="4" t="inlineStr">
        <is>
          <t>Kinder- &amp; Jugendarbeit</t>
        </is>
      </c>
      <c r="C8" s="4" t="inlineStr">
        <is>
          <t>Niedereschach</t>
        </is>
      </c>
      <c r="D8" s="4" t="inlineStr">
        <is>
          <t>info@jc-niederschach.de</t>
        </is>
      </c>
      <c r="E8" s="4" t="inlineStr">
        <is>
          <t>Klein &amp; Regelmäßig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inlineStr">
        <is>
          <t>Naturparkschule Josef-Hebting-Schule</t>
        </is>
      </c>
      <c r="B9" s="4" t="inlineStr">
        <is>
          <t>Natur</t>
        </is>
      </c>
      <c r="C9" s="4" t="inlineStr">
        <is>
          <t>Vöhrenbach</t>
        </is>
      </c>
      <c r="D9" s="4" t="inlineStr">
        <is>
          <t>sekretariat@jhs-voehrenbach.de</t>
        </is>
      </c>
      <c r="E9" s="4" t="inlineStr">
        <is>
          <t>Klein &amp; Regelmäßig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4" t="inlineStr">
        <is>
          <t>Jugendhaus Blumberg</t>
        </is>
      </c>
      <c r="B10" s="4" t="inlineStr">
        <is>
          <t>Kinder- &amp; Jugendarbeit</t>
        </is>
      </c>
      <c r="C10" s="4" t="inlineStr">
        <is>
          <t>Blumberg</t>
        </is>
      </c>
      <c r="D10" s="4" t="inlineStr">
        <is>
          <t>sasa.hustic@stadt-blumberg.de</t>
        </is>
      </c>
      <c r="E10" s="4" t="inlineStr">
        <is>
          <t>Klein &amp; Regelmäßig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4" t="inlineStr">
        <is>
          <t>Jugendhaus Behla</t>
        </is>
      </c>
      <c r="B11" s="4" t="inlineStr">
        <is>
          <t>Kinder- &amp; Jugendarbeit</t>
        </is>
      </c>
      <c r="C11" s="4" t="inlineStr">
        <is>
          <t>Hüfingen</t>
        </is>
      </c>
      <c r="D11" s="4" t="inlineStr">
        <is>
          <t>Svenja.markowitsch@huefingen.de</t>
        </is>
      </c>
      <c r="E11" s="4" t="inlineStr">
        <is>
          <t>Klein &amp; Regelmäßig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>
      <c r="A12" s="4" t="inlineStr">
        <is>
          <t>Generationentreff LEBENSWert</t>
        </is>
      </c>
      <c r="B12" s="4" t="inlineStr">
        <is>
          <t>Soziales</t>
        </is>
      </c>
      <c r="C12" s="4" t="inlineStr">
        <is>
          <t>Bad Dürrheim</t>
        </is>
      </c>
      <c r="D12" s="4" t="inlineStr">
        <is>
          <t>info@generationentreff-lebenswert.de</t>
        </is>
      </c>
      <c r="E12" s="4" t="inlineStr">
        <is>
          <t>Klein &amp; Regelmäßig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>
      <c r="A13" s="4" t="inlineStr">
        <is>
          <t>Jugendmusikschule -- Musikalische Früherziehung</t>
        </is>
      </c>
      <c r="B13" s="4" t="inlineStr">
        <is>
          <t>Musik</t>
        </is>
      </c>
      <c r="C13" s="4" t="inlineStr">
        <is>
          <t>Triberg</t>
        </is>
      </c>
      <c r="D13" s="4" t="inlineStr">
        <is>
          <t>jms@jugendmusikschulen.de</t>
        </is>
      </c>
      <c r="E13" s="4" t="inlineStr">
        <is>
          <t>Klein &amp; Regelmäßig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>
      <c r="A14" s="4" t="inlineStr">
        <is>
          <t>Jugendtreff</t>
        </is>
      </c>
      <c r="B14" s="4" t="inlineStr">
        <is>
          <t>Kinder- &amp; Jugendarbeit</t>
        </is>
      </c>
      <c r="C14" s="4" t="inlineStr">
        <is>
          <t>Furtwangen</t>
        </is>
      </c>
      <c r="D14" s="4" t="inlineStr">
        <is>
          <t>Dmaute.stadt@furtwangen.de</t>
        </is>
      </c>
      <c r="E14" s="4" t="inlineStr">
        <is>
          <t>Klein &amp; Regelmäßig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4" t="inlineStr">
        <is>
          <t>Reitsportgemeinschaft Gnadental</t>
        </is>
      </c>
      <c r="B15" s="4" t="inlineStr">
        <is>
          <t>Sportangebot</t>
        </is>
      </c>
      <c r="C15" s="4" t="inlineStr">
        <is>
          <t>Donaueschingen</t>
        </is>
      </c>
      <c r="D15" s="4" t="inlineStr">
        <is>
          <t>(Tel. 0771 61723)</t>
        </is>
      </c>
      <c r="E15" s="4" t="inlineStr">
        <is>
          <t>Klein &amp; Regelmäßig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>
      <c r="A16" s="4" t="inlineStr">
        <is>
          <t>Reit- und Fahrverein Donaueschingen e.V.</t>
        </is>
      </c>
      <c r="B16" s="4" t="inlineStr">
        <is>
          <t>Sportangebot</t>
        </is>
      </c>
      <c r="C16" s="4" t="inlineStr">
        <is>
          <t>Donaueschingen</t>
        </is>
      </c>
      <c r="D16" s="4" t="inlineStr">
        <is>
          <t>vorstand1@ruf-donaueschingen.de</t>
        </is>
      </c>
      <c r="E16" s="4" t="inlineStr">
        <is>
          <t>Klein &amp; Regelmäßig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>
      <c r="A17" s="4" t="inlineStr">
        <is>
          <t>Jugendhaus Bohrturm</t>
        </is>
      </c>
      <c r="B17" s="4" t="inlineStr">
        <is>
          <t>Kinder- &amp; Jugendarbeit</t>
        </is>
      </c>
      <c r="C17" s="4" t="inlineStr">
        <is>
          <t>Bad Dürrheim</t>
        </is>
      </c>
      <c r="D17" s="4" t="inlineStr">
        <is>
          <t>jugendhaus@bad-duerrheim.de</t>
        </is>
      </c>
      <c r="E17" s="4" t="inlineStr">
        <is>
          <t>Klein &amp; Regelmäßig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>
      <c r="A18" s="4" t="inlineStr">
        <is>
          <t>Jugendhaus Hüfingen</t>
        </is>
      </c>
      <c r="B18" s="4" t="inlineStr">
        <is>
          <t>Kinder- &amp; Jugendarbeit</t>
        </is>
      </c>
      <c r="C18" s="4" t="inlineStr">
        <is>
          <t>Hüfingen</t>
        </is>
      </c>
      <c r="D18" s="4" t="inlineStr">
        <is>
          <t>Svenja.markowitsch@huefingen.de</t>
        </is>
      </c>
      <c r="E18" s="4" t="inlineStr">
        <is>
          <t>Klein &amp; Regelmäßig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</sheetData>
  <autoFilter ref="A4:P18"/>
  <conditionalFormatting sqref="F5:F114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3">
    <dataValidation sqref="F5:F114" showDropDown="0" showInputMessage="0" showErrorMessage="0" allowBlank="1" type="list">
      <formula1>"Kontaktiert,Nachfragen,Zusage,Terminiert,Durchgeführt,Abgeschlossen,Absage"</formula1>
    </dataValidation>
    <dataValidation sqref="H5:I114" showDropDown="0" showInputMessage="0" showErrorMessage="0" allowBlank="1" type="list">
      <formula1>"Nadine Beha,Sophie Scheffler,Andreas Braxmeier,Ragavi Anusujantha"</formula1>
    </dataValidation>
    <dataValidation sqref="M5:M114" showDropDown="0" showInputMessage="0" showErrorMessage="0" allowBlank="1" type="list">
      <formula1>"Zoom,Präsenz,Telefon,Teams,Sonstiges"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5" customWidth="1" min="14" max="14"/>
    <col width="40" customWidth="1" min="15" max="15"/>
    <col width="20" customWidth="1" min="16" max="16"/>
  </cols>
  <sheetData>
    <row r="1">
      <c r="A1" s="2" t="inlineStr">
        <is>
          <t>KLEIN &amp; GELEGENTLICH</t>
        </is>
      </c>
      <c r="B1" t="inlineStr">
        <is>
          <t>Anzahl: 13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Lead</t>
        </is>
      </c>
      <c r="I4" s="8" t="inlineStr">
        <is>
          <t>Co-Interviewer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Initiative Gesund leben in St. Georgen</t>
        </is>
      </c>
      <c r="B5" s="4" t="inlineStr">
        <is>
          <t>Prävention</t>
        </is>
      </c>
      <c r="C5" s="4" t="inlineStr">
        <is>
          <t>St. Georgen</t>
        </is>
      </c>
      <c r="D5" s="4" t="inlineStr">
        <is>
          <t>(Keine Mail gefunden)</t>
        </is>
      </c>
      <c r="E5" s="4" t="inlineStr">
        <is>
          <t>Klein &amp; Gelegentlich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>
      <c r="A6" s="4" t="inlineStr">
        <is>
          <t>Blaues Kreuz in Deutschland e.V.</t>
        </is>
      </c>
      <c r="B6" s="4" t="inlineStr">
        <is>
          <t>Prävention</t>
        </is>
      </c>
      <c r="C6" s="4" t="inlineStr">
        <is>
          <t>St. Georgen</t>
        </is>
      </c>
      <c r="D6" s="4" t="inlineStr">
        <is>
          <t>b.becker@bluprevent.de</t>
        </is>
      </c>
      <c r="E6" s="4" t="inlineStr">
        <is>
          <t>Klein &amp; Gelegentlich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4" t="inlineStr">
        <is>
          <t>Kegel Sport Club Brigachtal</t>
        </is>
      </c>
      <c r="B7" s="4" t="inlineStr">
        <is>
          <t>Sportangebot</t>
        </is>
      </c>
      <c r="C7" s="4" t="inlineStr">
        <is>
          <t>Brigachtal</t>
        </is>
      </c>
      <c r="D7" s="4" t="inlineStr">
        <is>
          <t>Gunnar.tr@web.de</t>
        </is>
      </c>
      <c r="E7" s="4" t="inlineStr">
        <is>
          <t>Klein &amp; Gelegentlich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>
      <c r="A8" s="4" t="inlineStr">
        <is>
          <t>Fischereigemeinschaft Gütenbach</t>
        </is>
      </c>
      <c r="B8" s="4" t="inlineStr">
        <is>
          <t>Sportangebot</t>
        </is>
      </c>
      <c r="C8" s="4" t="inlineStr">
        <is>
          <t>Gütenbach</t>
        </is>
      </c>
      <c r="D8" s="4" t="inlineStr">
        <is>
          <t>info@guetenbach.de</t>
        </is>
      </c>
      <c r="E8" s="4" t="inlineStr">
        <is>
          <t>Klein &amp; Gelegentlich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inlineStr">
        <is>
          <t>Sportkegelclub Kegelfreunde Unterkirnach</t>
        </is>
      </c>
      <c r="B9" s="4" t="inlineStr">
        <is>
          <t>Sportangebot</t>
        </is>
      </c>
      <c r="C9" s="4" t="inlineStr">
        <is>
          <t>Unterkirnach</t>
        </is>
      </c>
      <c r="D9" s="4" t="inlineStr">
        <is>
          <t>vorstand.skckegelfreundeunterkirnach@gmx.de</t>
        </is>
      </c>
      <c r="E9" s="4" t="inlineStr">
        <is>
          <t>Klein &amp; Gelegentlich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4" t="inlineStr">
        <is>
          <t>Harmonikaverein &amp; Josef-Hebting-Schule</t>
        </is>
      </c>
      <c r="B10" s="4" t="inlineStr">
        <is>
          <t>Musik</t>
        </is>
      </c>
      <c r="C10" s="4" t="inlineStr">
        <is>
          <t>Vöhrenbach</t>
        </is>
      </c>
      <c r="D10" s="4" t="inlineStr">
        <is>
          <t>marinaguenter@gmx.de</t>
        </is>
      </c>
      <c r="E10" s="4" t="inlineStr">
        <is>
          <t>Klein &amp; Gelegentlich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4" t="inlineStr">
        <is>
          <t>VHS Tuningen</t>
        </is>
      </c>
      <c r="B11" s="4" t="inlineStr">
        <is>
          <t>Bildung</t>
        </is>
      </c>
      <c r="C11" s="4" t="inlineStr">
        <is>
          <t>Tuningen</t>
        </is>
      </c>
      <c r="D11" s="4" t="inlineStr">
        <is>
          <t>vhs@villingen-schwenningen.de</t>
        </is>
      </c>
      <c r="E11" s="4" t="inlineStr">
        <is>
          <t>Klein &amp; Gelegentlich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>
      <c r="A12" s="4" t="inlineStr">
        <is>
          <t>Feuerwehr Schonach</t>
        </is>
      </c>
      <c r="B12" s="4" t="inlineStr">
        <is>
          <t>BOS</t>
        </is>
      </c>
      <c r="C12" s="4" t="inlineStr">
        <is>
          <t>Schonach</t>
        </is>
      </c>
      <c r="D12" s="4" t="inlineStr">
        <is>
          <t>ts@feuerwehr-schonach.de</t>
        </is>
      </c>
      <c r="E12" s="4" t="inlineStr">
        <is>
          <t>Klein &amp; Gelegentlich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>
      <c r="A13" s="4" t="inlineStr">
        <is>
          <t>Städtischer Familienpass</t>
        </is>
      </c>
      <c r="B13" s="4" t="inlineStr">
        <is>
          <t>Kinder- &amp; Jugendarbeit</t>
        </is>
      </c>
      <c r="C13" s="4" t="inlineStr">
        <is>
          <t>Bräunlingen</t>
        </is>
      </c>
      <c r="D13" s="4" t="inlineStr">
        <is>
          <t>Stephanie.engesser@braeunlingen.de</t>
        </is>
      </c>
      <c r="E13" s="4" t="inlineStr">
        <is>
          <t>Klein &amp; Gelegentlich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>
      <c r="A14" s="4" t="inlineStr">
        <is>
          <t>SBBZ Weiherdammschule</t>
        </is>
      </c>
      <c r="B14" s="4" t="inlineStr">
        <is>
          <t>Bildung / Beratung</t>
        </is>
      </c>
      <c r="C14" s="4" t="inlineStr">
        <is>
          <t>Blumberg</t>
        </is>
      </c>
      <c r="D14" s="4" t="inlineStr">
        <is>
          <t>info@weiherdammschule-blumberg.de</t>
        </is>
      </c>
      <c r="E14" s="4" t="inlineStr">
        <is>
          <t>Klein &amp; Gelegentlich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4" t="inlineStr">
        <is>
          <t>Schulsozialarbeit GMS Eschach-Neckar</t>
        </is>
      </c>
      <c r="B15" s="4" t="inlineStr">
        <is>
          <t>Kinder- &amp; Jugendarbeit</t>
        </is>
      </c>
      <c r="C15" s="4" t="inlineStr">
        <is>
          <t>Niedereschach</t>
        </is>
      </c>
      <c r="D15" s="4" t="inlineStr">
        <is>
          <t>d_storz@lfa.org</t>
        </is>
      </c>
      <c r="E15" s="4" t="inlineStr">
        <is>
          <t>Klein &amp; Gelegentlich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>
      <c r="A16" s="4" t="inlineStr">
        <is>
          <t>Sportkegelclub Rot-Weiß Unterkirnach</t>
        </is>
      </c>
      <c r="B16" s="4" t="inlineStr">
        <is>
          <t>Sportangebot</t>
        </is>
      </c>
      <c r="C16" s="4" t="inlineStr">
        <is>
          <t>Unterkirnach</t>
        </is>
      </c>
      <c r="D16" s="4" t="inlineStr">
        <is>
          <t>michaelstorzukn@t-online.de</t>
        </is>
      </c>
      <c r="E16" s="4" t="inlineStr">
        <is>
          <t>Klein &amp; Gelegentlich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>
      <c r="A17" s="4" t="inlineStr">
        <is>
          <t>Trachtenkapelle Buchenberg</t>
        </is>
      </c>
      <c r="B17" s="4" t="inlineStr">
        <is>
          <t>Musik</t>
        </is>
      </c>
      <c r="C17" s="4" t="inlineStr">
        <is>
          <t>Königsfeld</t>
        </is>
      </c>
      <c r="D17" s="4" t="inlineStr">
        <is>
          <t>tk-buchenberg@t-online.de</t>
        </is>
      </c>
      <c r="E17" s="4" t="inlineStr">
        <is>
          <t>Klein &amp; Gelegentlich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</sheetData>
  <autoFilter ref="A4:P17"/>
  <conditionalFormatting sqref="F5:F113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3">
    <dataValidation sqref="F5:F113" showDropDown="0" showInputMessage="0" showErrorMessage="0" allowBlank="1" type="list">
      <formula1>"Kontaktiert,Nachfragen,Zusage,Terminiert,Durchgeführt,Abgeschlossen,Absage"</formula1>
    </dataValidation>
    <dataValidation sqref="H5:I113" showDropDown="0" showInputMessage="0" showErrorMessage="0" allowBlank="1" type="list">
      <formula1>"Nadine Beha,Sophie Scheffler,Andreas Braxmeier,Ragavi Anusujantha"</formula1>
    </dataValidation>
    <dataValidation sqref="M5:M113" showDropDown="0" showInputMessage="0" showErrorMessage="0" allowBlank="1" type="list">
      <formula1>"Zoom,Präsenz,Telefon,Teams,Sonstiges"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2026-01-12T18:35:56Z</dcterms:created>
  <dcterms:modified xmlns:dcterms="http://purl.org/dc/terms/" xmlns:xsi="http://www.w3.org/2001/XMLSchema-instance" xsi:type="dcterms:W3CDTF">2026-01-12T18:35:56Z</dcterms:modified>
</cp:coreProperties>
</file>