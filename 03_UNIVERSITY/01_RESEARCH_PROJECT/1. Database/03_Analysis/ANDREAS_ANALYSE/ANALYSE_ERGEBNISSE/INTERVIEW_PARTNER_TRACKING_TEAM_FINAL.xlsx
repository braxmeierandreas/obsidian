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Infos &amp; Ressourcen" sheetId="2" state="visible" r:id="rId2"/>
    <sheet xmlns:r="http://schemas.openxmlformats.org/officeDocument/2006/relationships" name="Übersicht" sheetId="3" state="visible" r:id="rId3"/>
    <sheet xmlns:r="http://schemas.openxmlformats.org/officeDocument/2006/relationships" name="Groß &amp; Regelmäßig" sheetId="4" state="visible" r:id="rId4"/>
    <sheet xmlns:r="http://schemas.openxmlformats.org/officeDocument/2006/relationships" name="Groß &amp; Gelegentlich" sheetId="5" state="visible" r:id="rId5"/>
    <sheet xmlns:r="http://schemas.openxmlformats.org/officeDocument/2006/relationships" name="Klein &amp; Regelmäßig" sheetId="6" state="visible" r:id="rId6"/>
    <sheet xmlns:r="http://schemas.openxmlformats.org/officeDocument/2006/relationships" name="Klein &amp; Gelegentlich" sheetId="7" state="visible" r:id="rId7"/>
  </sheets>
  <definedNames>
    <definedName name="_xlnm._FilterDatabase" localSheetId="2" hidden="1">'Übersicht'!$A$4:$P$58</definedName>
    <definedName name="_xlnm._FilterDatabase" localSheetId="3" hidden="1">'Groß &amp; Regelmäßig'!$A$4:$P$17</definedName>
    <definedName name="_xlnm._FilterDatabase" localSheetId="4" hidden="1">'Groß &amp; Gelegentlich'!$A$4:$P$18</definedName>
    <definedName name="_xlnm._FilterDatabase" localSheetId="5" hidden="1">'Klein &amp; Regelmäßig'!$A$4:$P$18</definedName>
    <definedName name="_xlnm._FilterDatabase" localSheetId="6" hidden="1">'Klein &amp; Gelegentlich'!$A$4:$P$17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HH:MM"/>
    <numFmt numFmtId="166" formatCode="[h]:mm"/>
  </numFmts>
  <fonts count="5">
    <font>
      <name val="Calibri"/>
      <family val="2"/>
      <color theme="1"/>
      <sz val="11"/>
      <scheme val="minor"/>
    </font>
    <font>
      <b val="1"/>
      <color rgb="00203764"/>
      <sz val="20"/>
    </font>
    <font>
      <b val="1"/>
      <sz val="14"/>
    </font>
    <font>
      <b val="1"/>
      <color rgb="00FFFFFF"/>
    </font>
    <font>
      <b val="1"/>
      <color rgb="00203764"/>
      <sz val="18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25" customWidth="1" min="5" max="5"/>
    <col width="25" customWidth="1" min="8" max="8"/>
    <col width="35" customWidth="1" min="11" max="11"/>
  </cols>
  <sheetData>
    <row r="2">
      <c r="B2" s="1" t="inlineStr">
        <is>
          <t>Projekt-Cockpit: Interviewplanung</t>
        </is>
      </c>
    </row>
    <row r="5">
      <c r="B5" s="2" t="inlineStr">
        <is>
          <t>Status Übersicht</t>
        </is>
      </c>
      <c r="E5" s="2" t="inlineStr">
        <is>
          <t>Team Auslastung</t>
        </is>
      </c>
      <c r="H5" s="2" t="inlineStr">
        <is>
          <t>Top Städte</t>
        </is>
      </c>
      <c r="K5" s="2" t="inlineStr">
        <is>
          <t>Top Angebotstypen</t>
        </is>
      </c>
    </row>
    <row r="6">
      <c r="B6" s="3" t="inlineStr">
        <is>
          <t>Status</t>
        </is>
      </c>
      <c r="C6" s="3" t="inlineStr">
        <is>
          <t>Anzahl</t>
        </is>
      </c>
      <c r="E6" s="3" t="inlineStr">
        <is>
          <t>Name</t>
        </is>
      </c>
      <c r="F6" s="3" t="inlineStr">
        <is>
          <t>Einsätze</t>
        </is>
      </c>
      <c r="H6" s="3" t="inlineStr">
        <is>
          <t>Stadt</t>
        </is>
      </c>
      <c r="I6" s="3" t="inlineStr">
        <is>
          <t>Anzahl</t>
        </is>
      </c>
      <c r="K6" s="3" t="inlineStr">
        <is>
          <t>Typ</t>
        </is>
      </c>
      <c r="L6" s="3" t="inlineStr">
        <is>
          <t>Anzahl</t>
        </is>
      </c>
    </row>
    <row r="7">
      <c r="B7" s="4" t="inlineStr">
        <is>
          <t>Kontaktiert</t>
        </is>
      </c>
      <c r="C7" s="5">
        <f>COUNTIF(Übersicht!F$5:F$500, "Kontaktiert")</f>
        <v/>
      </c>
      <c r="E7" s="4" t="inlineStr">
        <is>
          <t>Andreas Braxmeier</t>
        </is>
      </c>
      <c r="F7" s="5">
        <f>COUNTIF(Übersicht!H$5:H$500, "Andreas Braxmeier") + COUNTIF(Übersicht!I$5:I$500, "Andreas Braxmeier")</f>
        <v/>
      </c>
      <c r="H7" s="4" t="inlineStr">
        <is>
          <t>Villingen-Schwenningen</t>
        </is>
      </c>
      <c r="I7" s="5">
        <f>COUNTIF(Übersicht!C$5:C$500, "Villingen-Schwenningen")</f>
        <v/>
      </c>
      <c r="K7" s="4" t="inlineStr">
        <is>
          <t>Kinder- &amp; Jugendarbeit</t>
        </is>
      </c>
      <c r="L7" s="5">
        <f>COUNTIF(Übersicht!B$5:B$500, "Kinder- &amp; Jugendarbeit")</f>
        <v/>
      </c>
    </row>
    <row r="8">
      <c r="B8" s="4" t="inlineStr">
        <is>
          <t>Nachfragen</t>
        </is>
      </c>
      <c r="C8" s="5">
        <f>COUNTIF(Übersicht!F$5:F$500, "Nachfragen")</f>
        <v/>
      </c>
      <c r="E8" s="4" t="inlineStr">
        <is>
          <t>Nadine Beha</t>
        </is>
      </c>
      <c r="F8" s="5">
        <f>COUNTIF(Übersicht!H$5:H$500, "Nadine Beha") + COUNTIF(Übersicht!I$5:I$500, "Nadine Beha")</f>
        <v/>
      </c>
      <c r="H8" s="4" t="inlineStr">
        <is>
          <t>St. Georgen</t>
        </is>
      </c>
      <c r="I8" s="5">
        <f>COUNTIF(Übersicht!C$5:C$500, "St. Georgen")</f>
        <v/>
      </c>
      <c r="K8" s="4" t="inlineStr">
        <is>
          <t>Sportangebot</t>
        </is>
      </c>
      <c r="L8" s="5">
        <f>COUNTIF(Übersicht!B$5:B$500, "Sportangebot")</f>
        <v/>
      </c>
    </row>
    <row r="9">
      <c r="B9" s="4" t="inlineStr">
        <is>
          <t>Zusage</t>
        </is>
      </c>
      <c r="C9" s="5">
        <f>COUNTIF(Übersicht!F$5:F$500, "Zusage")</f>
        <v/>
      </c>
      <c r="E9" s="4" t="inlineStr">
        <is>
          <t>Sophie Scheffler</t>
        </is>
      </c>
      <c r="F9" s="5">
        <f>COUNTIF(Übersicht!H$5:H$500, "Sophie Scheffler") + COUNTIF(Übersicht!I$5:I$500, "Sophie Scheffler")</f>
        <v/>
      </c>
      <c r="H9" s="4" t="inlineStr">
        <is>
          <t>Donaueschingen</t>
        </is>
      </c>
      <c r="I9" s="5">
        <f>COUNTIF(Übersicht!C$5:C$500, "Donaueschingen")</f>
        <v/>
      </c>
      <c r="K9" s="4" t="inlineStr">
        <is>
          <t>Prävention</t>
        </is>
      </c>
      <c r="L9" s="5">
        <f>COUNTIF(Übersicht!B$5:B$500, "Prävention")</f>
        <v/>
      </c>
    </row>
    <row r="10">
      <c r="B10" s="4" t="inlineStr">
        <is>
          <t>Terminiert</t>
        </is>
      </c>
      <c r="C10" s="5">
        <f>COUNTIF(Übersicht!F$5:F$500, "Terminiert")</f>
        <v/>
      </c>
      <c r="E10" s="4" t="inlineStr">
        <is>
          <t>Ragavi Anusujantha</t>
        </is>
      </c>
      <c r="F10" s="5">
        <f>COUNTIF(Übersicht!H$5:H$500, "Ragavi Anusujantha") + COUNTIF(Übersicht!I$5:I$500, "Ragavi Anusujantha")</f>
        <v/>
      </c>
      <c r="H10" s="4" t="inlineStr">
        <is>
          <t>Bad Dürrheim</t>
        </is>
      </c>
      <c r="I10" s="5">
        <f>COUNTIF(Übersicht!C$5:C$500, "Bad Dürrheim")</f>
        <v/>
      </c>
      <c r="K10" s="4" t="inlineStr">
        <is>
          <t>Soziales</t>
        </is>
      </c>
      <c r="L10" s="5">
        <f>COUNTIF(Übersicht!B$5:B$500, "Soziales")</f>
        <v/>
      </c>
    </row>
    <row r="11">
      <c r="B11" s="4" t="inlineStr">
        <is>
          <t>Durchgeführt</t>
        </is>
      </c>
      <c r="C11" s="5">
        <f>COUNTIF(Übersicht!F$5:F$500, "Durchgeführt")</f>
        <v/>
      </c>
      <c r="E11" s="4" t="inlineStr">
        <is>
          <t>Nina Ludwig</t>
        </is>
      </c>
      <c r="F11" s="5">
        <f>COUNTIF(Übersicht!H$5:H$500, "Nina Ludwig") + COUNTIF(Übersicht!I$5:I$500, "Nina Ludwig")</f>
        <v/>
      </c>
      <c r="H11" s="4" t="inlineStr">
        <is>
          <t>Triberg</t>
        </is>
      </c>
      <c r="I11" s="5">
        <f>COUNTIF(Übersicht!C$5:C$500, "Triberg")</f>
        <v/>
      </c>
      <c r="K11" s="4" t="inlineStr">
        <is>
          <t>Beratung</t>
        </is>
      </c>
      <c r="L11" s="5">
        <f>COUNTIF(Übersicht!B$5:B$500, "Beratung")</f>
        <v/>
      </c>
    </row>
    <row r="12">
      <c r="B12" s="4" t="inlineStr">
        <is>
          <t>Abgeschlossen</t>
        </is>
      </c>
      <c r="C12" s="5">
        <f>COUNTIF(Übersicht!F$5:F$500, "Abgeschlossen")</f>
        <v/>
      </c>
      <c r="H12" s="4" t="inlineStr">
        <is>
          <t>Hüfingen</t>
        </is>
      </c>
      <c r="I12" s="5">
        <f>COUNTIF(Übersicht!C$5:C$500, "Hüfingen")</f>
        <v/>
      </c>
      <c r="K12" s="4" t="inlineStr">
        <is>
          <t>BOS</t>
        </is>
      </c>
      <c r="L12" s="5">
        <f>COUNTIF(Übersicht!B$5:B$500, "BOS")</f>
        <v/>
      </c>
    </row>
    <row r="13">
      <c r="B13" s="4" t="inlineStr">
        <is>
          <t>Absage</t>
        </is>
      </c>
      <c r="C13" s="5">
        <f>COUNTIF(Übersicht!F$5:F$500, "Absage")</f>
        <v/>
      </c>
      <c r="H13" s="4" t="inlineStr">
        <is>
          <t>Schonach</t>
        </is>
      </c>
      <c r="I13" s="5">
        <f>COUNTIF(Übersicht!C$5:C$500, "Schonach")</f>
        <v/>
      </c>
      <c r="K13" s="4" t="inlineStr">
        <is>
          <t>Musik</t>
        </is>
      </c>
      <c r="L13" s="5">
        <f>COUNTIF(Übersicht!B$5:B$500, "Musik")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6" t="inlineStr">
        <is>
          <t>Wichtige Projekt-Informationen</t>
        </is>
      </c>
    </row>
    <row r="3">
      <c r="A3" s="7" t="inlineStr">
        <is>
          <t>Thema</t>
        </is>
      </c>
      <c r="B3" s="7" t="inlineStr">
        <is>
          <t>Link / Ort</t>
        </is>
      </c>
      <c r="C3" s="7" t="inlineStr">
        <is>
          <t>Benutzername</t>
        </is>
      </c>
      <c r="D3" s="7" t="inlineStr">
        <is>
          <t>Passwort / Notiz</t>
        </is>
      </c>
    </row>
    <row r="4">
      <c r="A4" s="4" t="inlineStr">
        <is>
          <t>Zoom Meeting Raum</t>
        </is>
      </c>
      <c r="B4" s="4" t="inlineStr"/>
      <c r="C4" s="4" t="inlineStr"/>
      <c r="D4" s="4" t="inlineStr"/>
    </row>
    <row r="5">
      <c r="A5" s="4" t="inlineStr">
        <is>
          <t>Projektordner (Drive)</t>
        </is>
      </c>
      <c r="B5" s="4" t="inlineStr"/>
      <c r="C5" s="4" t="inlineStr"/>
      <c r="D5" s="4" t="inlineStr"/>
    </row>
    <row r="6">
      <c r="A6" s="4" t="inlineStr">
        <is>
          <t>Miro Board</t>
        </is>
      </c>
      <c r="B6" s="4" t="inlineStr"/>
      <c r="C6" s="4" t="inlineStr"/>
      <c r="D6" s="4" t="inlineStr"/>
    </row>
    <row r="7">
      <c r="A7" s="4" t="inlineStr">
        <is>
          <t>Interviewleitfaden (Link)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ÜBERSICHT</t>
        </is>
      </c>
      <c r="B1" t="inlineStr">
        <is>
          <t>Anzahl: 54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9" t="inlineStr"/>
      <c r="K5" s="10" t="inlineStr"/>
      <c r="L5" s="11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9" t="inlineStr"/>
      <c r="K6" s="10" t="inlineStr"/>
      <c r="L6" s="11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9" t="inlineStr"/>
      <c r="K7" s="10" t="inlineStr"/>
      <c r="L7" s="11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9" t="inlineStr"/>
      <c r="K8" s="10" t="inlineStr"/>
      <c r="L8" s="11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9" t="inlineStr"/>
      <c r="K9" s="10" t="inlineStr"/>
      <c r="L9" s="11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9" t="inlineStr"/>
      <c r="K10" s="10" t="inlineStr"/>
      <c r="L10" s="11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9" t="inlineStr"/>
      <c r="K11" s="10" t="inlineStr"/>
      <c r="L11" s="11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9" t="inlineStr"/>
      <c r="K12" s="10" t="inlineStr"/>
      <c r="L12" s="11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9" t="inlineStr"/>
      <c r="K13" s="10" t="inlineStr"/>
      <c r="L13" s="11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9" t="inlineStr"/>
      <c r="K14" s="10" t="inlineStr"/>
      <c r="L14" s="11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9" t="inlineStr"/>
      <c r="K15" s="10" t="inlineStr"/>
      <c r="L15" s="11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9" t="inlineStr"/>
      <c r="K16" s="10" t="inlineStr"/>
      <c r="L16" s="11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9" t="inlineStr"/>
      <c r="K17" s="10" t="inlineStr"/>
      <c r="L17" s="11" t="inlineStr"/>
      <c r="M17" s="4" t="inlineStr"/>
      <c r="N17" s="4" t="inlineStr"/>
      <c r="O17" s="4" t="inlineStr"/>
      <c r="P17" s="4" t="inlineStr"/>
    </row>
    <row r="18">
      <c r="A18" s="4" t="inlineStr">
        <is>
          <t>BEKJ Villingen-Schwenningen</t>
        </is>
      </c>
      <c r="B18" s="4" t="inlineStr">
        <is>
          <t>Beratung</t>
        </is>
      </c>
      <c r="C18" s="4" t="inlineStr">
        <is>
          <t>Villingen-Schwenningen</t>
        </is>
      </c>
      <c r="D18" s="4" t="inlineStr">
        <is>
          <t>beratungsstelle-bekj-fw@Lrasbk.de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9" t="inlineStr"/>
      <c r="K18" s="10" t="inlineStr"/>
      <c r="L18" s="11" t="inlineStr"/>
      <c r="M18" s="4" t="inlineStr"/>
      <c r="N18" s="4" t="inlineStr"/>
      <c r="O18" s="4" t="inlineStr"/>
      <c r="P18" s="4" t="inlineStr"/>
    </row>
    <row r="19">
      <c r="A19" s="4" t="inlineStr">
        <is>
          <t>Polizei Triberg -- Präventionsvorträge</t>
        </is>
      </c>
      <c r="B19" s="4" t="inlineStr">
        <is>
          <t>Prävention</t>
        </is>
      </c>
      <c r="C19" s="4" t="inlineStr">
        <is>
          <t>Triberg</t>
        </is>
      </c>
      <c r="D19" s="4" t="inlineStr">
        <is>
          <t>Keine E-Mail!</t>
        </is>
      </c>
      <c r="E19" s="4" t="inlineStr">
        <is>
          <t>Groß &amp; Gelegentlich</t>
        </is>
      </c>
      <c r="F19" s="4" t="inlineStr"/>
      <c r="G19" s="4" t="inlineStr"/>
      <c r="H19" s="4" t="inlineStr"/>
      <c r="I19" s="4" t="inlineStr"/>
      <c r="J19" s="9" t="inlineStr"/>
      <c r="K19" s="10" t="inlineStr"/>
      <c r="L19" s="11" t="inlineStr"/>
      <c r="M19" s="4" t="inlineStr"/>
      <c r="N19" s="4" t="inlineStr"/>
      <c r="O19" s="4" t="inlineStr"/>
      <c r="P19" s="4" t="inlineStr"/>
    </row>
    <row r="20">
      <c r="A20" s="4" t="inlineStr">
        <is>
          <t>Schwarzwald-Gymnasium</t>
        </is>
      </c>
      <c r="B20" s="4" t="inlineStr">
        <is>
          <t>Beratung</t>
        </is>
      </c>
      <c r="C20" s="4" t="inlineStr">
        <is>
          <t>Triberg</t>
        </is>
      </c>
      <c r="D20" s="4" t="inlineStr">
        <is>
          <t>rf@schwarzwald-gymnasium.de</t>
        </is>
      </c>
      <c r="E20" s="4" t="inlineStr">
        <is>
          <t>Groß &amp; Gelegentlich</t>
        </is>
      </c>
      <c r="F20" s="4" t="inlineStr"/>
      <c r="G20" s="4" t="inlineStr"/>
      <c r="H20" s="4" t="inlineStr"/>
      <c r="I20" s="4" t="inlineStr"/>
      <c r="J20" s="9" t="inlineStr"/>
      <c r="K20" s="10" t="inlineStr"/>
      <c r="L20" s="11" t="inlineStr"/>
      <c r="M20" s="4" t="inlineStr"/>
      <c r="N20" s="4" t="inlineStr"/>
      <c r="O20" s="4" t="inlineStr"/>
      <c r="P20" s="4" t="inlineStr"/>
    </row>
    <row r="21">
      <c r="A21" s="4" t="inlineStr">
        <is>
          <t>Lernort Natur -- Jägervereinigung SBK</t>
        </is>
      </c>
      <c r="B21" s="4" t="inlineStr">
        <is>
          <t>Natur</t>
        </is>
      </c>
      <c r="C21" s="4" t="inlineStr">
        <is>
          <t>SBK</t>
        </is>
      </c>
      <c r="D21" s="4" t="inlineStr">
        <is>
          <t>kjm-kjv-sbk@outlook.de</t>
        </is>
      </c>
      <c r="E21" s="4" t="inlineStr">
        <is>
          <t>Groß &amp; Gelegentlich</t>
        </is>
      </c>
      <c r="F21" s="4" t="inlineStr"/>
      <c r="G21" s="4" t="inlineStr"/>
      <c r="H21" s="4" t="inlineStr"/>
      <c r="I21" s="4" t="inlineStr"/>
      <c r="J21" s="9" t="inlineStr"/>
      <c r="K21" s="10" t="inlineStr"/>
      <c r="L21" s="11" t="inlineStr"/>
      <c r="M21" s="4" t="inlineStr"/>
      <c r="N21" s="4" t="inlineStr"/>
      <c r="O21" s="4" t="inlineStr"/>
      <c r="P21" s="4" t="inlineStr"/>
    </row>
    <row r="22">
      <c r="A22" s="4" t="inlineStr">
        <is>
          <t>Naturfreunde</t>
        </is>
      </c>
      <c r="B22" s="4" t="inlineStr">
        <is>
          <t>Umweltschutz</t>
        </is>
      </c>
      <c r="C22" s="4" t="inlineStr">
        <is>
          <t>Bräunlingen</t>
        </is>
      </c>
      <c r="D22" s="4" t="inlineStr">
        <is>
          <t>naturfreunde-braeunlingen@gmx.de</t>
        </is>
      </c>
      <c r="E22" s="4" t="inlineStr">
        <is>
          <t>Groß &amp; Gelegentlich</t>
        </is>
      </c>
      <c r="F22" s="4" t="inlineStr"/>
      <c r="G22" s="4" t="inlineStr"/>
      <c r="H22" s="4" t="inlineStr"/>
      <c r="I22" s="4" t="inlineStr"/>
      <c r="J22" s="9" t="inlineStr"/>
      <c r="K22" s="10" t="inlineStr"/>
      <c r="L22" s="11" t="inlineStr"/>
      <c r="M22" s="4" t="inlineStr"/>
      <c r="N22" s="4" t="inlineStr"/>
      <c r="O22" s="4" t="inlineStr"/>
      <c r="P22" s="4" t="inlineStr"/>
    </row>
    <row r="23">
      <c r="A23" s="4" t="inlineStr">
        <is>
          <t>Kontaktstelle Beratung &amp; Freizeit</t>
        </is>
      </c>
      <c r="B23" s="4" t="inlineStr">
        <is>
          <t>Soziales</t>
        </is>
      </c>
      <c r="C23" s="4" t="inlineStr">
        <is>
          <t>Donaueschingen</t>
        </is>
      </c>
      <c r="D23" s="4" t="inlineStr">
        <is>
          <t>David.Mueller@Bruderhausdiakonie.de</t>
        </is>
      </c>
      <c r="E23" s="4" t="inlineStr">
        <is>
          <t>Groß &amp; Gelegentlich</t>
        </is>
      </c>
      <c r="F23" s="4" t="inlineStr"/>
      <c r="G23" s="4" t="inlineStr"/>
      <c r="H23" s="4" t="inlineStr"/>
      <c r="I23" s="4" t="inlineStr"/>
      <c r="J23" s="9" t="inlineStr"/>
      <c r="K23" s="10" t="inlineStr"/>
      <c r="L23" s="11" t="inlineStr"/>
      <c r="M23" s="4" t="inlineStr"/>
      <c r="N23" s="4" t="inlineStr"/>
      <c r="O23" s="4" t="inlineStr"/>
      <c r="P23" s="4" t="inlineStr"/>
    </row>
    <row r="24">
      <c r="A24" s="4" t="inlineStr">
        <is>
          <t>Schulnetzwerk</t>
        </is>
      </c>
      <c r="B24" s="4" t="inlineStr">
        <is>
          <t>Bildung</t>
        </is>
      </c>
      <c r="C24" s="4" t="inlineStr">
        <is>
          <t>St. Georgen</t>
        </is>
      </c>
      <c r="D24" s="4" t="inlineStr">
        <is>
          <t>sekretariat@rsstg.de</t>
        </is>
      </c>
      <c r="E24" s="4" t="inlineStr">
        <is>
          <t>Groß &amp; Gelegentlich</t>
        </is>
      </c>
      <c r="F24" s="4" t="inlineStr"/>
      <c r="G24" s="4" t="inlineStr"/>
      <c r="H24" s="4" t="inlineStr"/>
      <c r="I24" s="4" t="inlineStr"/>
      <c r="J24" s="9" t="inlineStr"/>
      <c r="K24" s="10" t="inlineStr"/>
      <c r="L24" s="11" t="inlineStr"/>
      <c r="M24" s="4" t="inlineStr"/>
      <c r="N24" s="4" t="inlineStr"/>
      <c r="O24" s="4" t="inlineStr"/>
      <c r="P24" s="4" t="inlineStr"/>
    </row>
    <row r="25">
      <c r="A25" s="4" t="inlineStr">
        <is>
          <t>AWO Kinder- und Jugendhilfe</t>
        </is>
      </c>
      <c r="B25" s="4" t="inlineStr">
        <is>
          <t>Soziales</t>
        </is>
      </c>
      <c r="C25" s="4" t="inlineStr">
        <is>
          <t>Villingen-Schwenningen</t>
        </is>
      </c>
      <c r="D25" s="4" t="inlineStr">
        <is>
          <t>s.brunner@awo-ov-vs.de</t>
        </is>
      </c>
      <c r="E25" s="4" t="inlineStr">
        <is>
          <t>Groß &amp; Gelegentlich</t>
        </is>
      </c>
      <c r="F25" s="4" t="inlineStr"/>
      <c r="G25" s="4" t="inlineStr"/>
      <c r="H25" s="4" t="inlineStr"/>
      <c r="I25" s="4" t="inlineStr"/>
      <c r="J25" s="9" t="inlineStr"/>
      <c r="K25" s="10" t="inlineStr"/>
      <c r="L25" s="11" t="inlineStr"/>
      <c r="M25" s="4" t="inlineStr"/>
      <c r="N25" s="4" t="inlineStr"/>
      <c r="O25" s="4" t="inlineStr"/>
      <c r="P25" s="4" t="inlineStr"/>
    </row>
    <row r="26">
      <c r="A26" s="4" t="inlineStr">
        <is>
          <t>DRK -- Psychosoziale Notfallvorsorge</t>
        </is>
      </c>
      <c r="B26" s="4" t="inlineStr">
        <is>
          <t>BOS</t>
        </is>
      </c>
      <c r="C26" s="4" t="inlineStr">
        <is>
          <t>Villingen-Schwenningen</t>
        </is>
      </c>
      <c r="D26" s="4" t="inlineStr">
        <is>
          <t>mail@psnv-sbk.de</t>
        </is>
      </c>
      <c r="E26" s="4" t="inlineStr">
        <is>
          <t>Groß &amp; Gelegentlich</t>
        </is>
      </c>
      <c r="F26" s="4" t="inlineStr"/>
      <c r="G26" s="4" t="inlineStr"/>
      <c r="H26" s="4" t="inlineStr"/>
      <c r="I26" s="4" t="inlineStr"/>
      <c r="J26" s="9" t="inlineStr"/>
      <c r="K26" s="10" t="inlineStr"/>
      <c r="L26" s="11" t="inlineStr"/>
      <c r="M26" s="4" t="inlineStr"/>
      <c r="N26" s="4" t="inlineStr"/>
      <c r="O26" s="4" t="inlineStr"/>
      <c r="P26" s="4" t="inlineStr"/>
    </row>
    <row r="27">
      <c r="A27" s="4" t="inlineStr">
        <is>
          <t>Projekt Bewegte Schule -- Dom-Clemente-Schule</t>
        </is>
      </c>
      <c r="B27" s="4" t="inlineStr">
        <is>
          <t>Sportangebot</t>
        </is>
      </c>
      <c r="C27" s="4" t="inlineStr">
        <is>
          <t>Schonach</t>
        </is>
      </c>
      <c r="D27" s="4" t="inlineStr">
        <is>
          <t>d.tritschler@schonach.de</t>
        </is>
      </c>
      <c r="E27" s="4" t="inlineStr">
        <is>
          <t>Groß &amp; Gelegentlich</t>
        </is>
      </c>
      <c r="F27" s="4" t="inlineStr"/>
      <c r="G27" s="4" t="inlineStr"/>
      <c r="H27" s="4" t="inlineStr"/>
      <c r="I27" s="4" t="inlineStr"/>
      <c r="J27" s="9" t="inlineStr"/>
      <c r="K27" s="10" t="inlineStr"/>
      <c r="L27" s="11" t="inlineStr"/>
      <c r="M27" s="4" t="inlineStr"/>
      <c r="N27" s="4" t="inlineStr"/>
      <c r="O27" s="4" t="inlineStr"/>
      <c r="P27" s="4" t="inlineStr"/>
    </row>
    <row r="28">
      <c r="A28" s="4" t="inlineStr">
        <is>
          <t>Schönwälder Naturfreibad</t>
        </is>
      </c>
      <c r="B28" s="4" t="inlineStr">
        <is>
          <t>Sportstätte</t>
        </is>
      </c>
      <c r="C28" s="4" t="inlineStr">
        <is>
          <t>Schönwald</t>
        </is>
      </c>
      <c r="D28" s="4" t="inlineStr">
        <is>
          <t>mail@schoenwald.de</t>
        </is>
      </c>
      <c r="E28" s="4" t="inlineStr">
        <is>
          <t>Groß &amp; Gelegentlich</t>
        </is>
      </c>
      <c r="F28" s="4" t="inlineStr"/>
      <c r="G28" s="4" t="inlineStr"/>
      <c r="H28" s="4" t="inlineStr"/>
      <c r="I28" s="4" t="inlineStr"/>
      <c r="J28" s="9" t="inlineStr"/>
      <c r="K28" s="10" t="inlineStr"/>
      <c r="L28" s="11" t="inlineStr"/>
      <c r="M28" s="4" t="inlineStr"/>
      <c r="N28" s="4" t="inlineStr"/>
      <c r="O28" s="4" t="inlineStr"/>
      <c r="P28" s="4" t="inlineStr"/>
    </row>
    <row r="29">
      <c r="A29" s="4" t="inlineStr">
        <is>
          <t>Freibad Tannheim</t>
        </is>
      </c>
      <c r="B29" s="4" t="inlineStr">
        <is>
          <t>Sportstätte</t>
        </is>
      </c>
      <c r="C29" s="4" t="inlineStr">
        <is>
          <t>Tannheim</t>
        </is>
      </c>
      <c r="D29" s="4" t="inlineStr">
        <is>
          <t>info@freibad-tannheim.de</t>
        </is>
      </c>
      <c r="E29" s="4" t="inlineStr">
        <is>
          <t>Groß &amp; Gelegentlich</t>
        </is>
      </c>
      <c r="F29" s="4" t="inlineStr"/>
      <c r="G29" s="4" t="inlineStr"/>
      <c r="H29" s="4" t="inlineStr"/>
      <c r="I29" s="4" t="inlineStr"/>
      <c r="J29" s="9" t="inlineStr"/>
      <c r="K29" s="10" t="inlineStr"/>
      <c r="L29" s="11" t="inlineStr"/>
      <c r="M29" s="4" t="inlineStr"/>
      <c r="N29" s="4" t="inlineStr"/>
      <c r="O29" s="4" t="inlineStr"/>
      <c r="P29" s="4" t="inlineStr"/>
    </row>
    <row r="30">
      <c r="A30" s="4" t="inlineStr">
        <is>
          <t>Deutscher Kinderschutzbund OV</t>
        </is>
      </c>
      <c r="B30" s="4" t="inlineStr">
        <is>
          <t>Soziales</t>
        </is>
      </c>
      <c r="C30" s="4" t="inlineStr">
        <is>
          <t>Furtwangen</t>
        </is>
      </c>
      <c r="D30" s="4" t="inlineStr">
        <is>
          <t>info@dksb-furtwangen.de</t>
        </is>
      </c>
      <c r="E30" s="4" t="inlineStr">
        <is>
          <t>Groß &amp; Gelegentlich</t>
        </is>
      </c>
      <c r="F30" s="4" t="inlineStr"/>
      <c r="G30" s="4" t="inlineStr"/>
      <c r="H30" s="4" t="inlineStr"/>
      <c r="I30" s="4" t="inlineStr"/>
      <c r="J30" s="9" t="inlineStr"/>
      <c r="K30" s="10" t="inlineStr"/>
      <c r="L30" s="11" t="inlineStr"/>
      <c r="M30" s="4" t="inlineStr"/>
      <c r="N30" s="4" t="inlineStr"/>
      <c r="O30" s="4" t="inlineStr"/>
      <c r="P30" s="4" t="inlineStr"/>
    </row>
    <row r="31">
      <c r="A31" s="4" t="inlineStr">
        <is>
          <t>BUND Ortsverband</t>
        </is>
      </c>
      <c r="B31" s="4" t="inlineStr">
        <is>
          <t>Umweltschutz</t>
        </is>
      </c>
      <c r="C31" s="4" t="inlineStr">
        <is>
          <t>Königsfeld</t>
        </is>
      </c>
      <c r="D31" s="4" t="inlineStr">
        <is>
          <t>bund.sbh@bund.net</t>
        </is>
      </c>
      <c r="E31" s="4" t="inlineStr">
        <is>
          <t>Groß &amp; Gelegentlich</t>
        </is>
      </c>
      <c r="F31" s="4" t="inlineStr"/>
      <c r="G31" s="4" t="inlineStr"/>
      <c r="H31" s="4" t="inlineStr"/>
      <c r="I31" s="4" t="inlineStr"/>
      <c r="J31" s="9" t="inlineStr"/>
      <c r="K31" s="10" t="inlineStr"/>
      <c r="L31" s="11" t="inlineStr"/>
      <c r="M31" s="4" t="inlineStr"/>
      <c r="N31" s="4" t="inlineStr"/>
      <c r="O31" s="4" t="inlineStr"/>
      <c r="P31" s="4" t="inlineStr"/>
    </row>
    <row r="32">
      <c r="A32" s="4" t="inlineStr">
        <is>
          <t>Bundesverband Psychiatrie-Erfahrener e.V.</t>
        </is>
      </c>
      <c r="B32" s="4" t="inlineStr">
        <is>
          <t>Selbsthilfe</t>
        </is>
      </c>
      <c r="C32" s="4" t="inlineStr">
        <is>
          <t>Villingen-Schwenningen</t>
        </is>
      </c>
      <c r="D32" s="4" t="inlineStr">
        <is>
          <t>kontakt-info@bpe-online.de</t>
        </is>
      </c>
      <c r="E32" s="4" t="inlineStr">
        <is>
          <t>Klein &amp; Regelmäßig</t>
        </is>
      </c>
      <c r="F32" s="4" t="inlineStr"/>
      <c r="G32" s="4" t="inlineStr"/>
      <c r="H32" s="4" t="inlineStr"/>
      <c r="I32" s="4" t="inlineStr"/>
      <c r="J32" s="9" t="inlineStr"/>
      <c r="K32" s="10" t="inlineStr"/>
      <c r="L32" s="11" t="inlineStr"/>
      <c r="M32" s="4" t="inlineStr"/>
      <c r="N32" s="4" t="inlineStr"/>
      <c r="O32" s="4" t="inlineStr"/>
      <c r="P32" s="4" t="inlineStr"/>
    </row>
    <row r="33">
      <c r="A33" s="4" t="inlineStr">
        <is>
          <t>Jugendhaus Fürstenberg</t>
        </is>
      </c>
      <c r="B33" s="4" t="inlineStr">
        <is>
          <t>Kinder- &amp; Jugendarbeit</t>
        </is>
      </c>
      <c r="C33" s="4" t="inlineStr">
        <is>
          <t>Hüfingen</t>
        </is>
      </c>
      <c r="D33" s="4" t="inlineStr">
        <is>
          <t>Svenja.markowitsch@huefingen.de</t>
        </is>
      </c>
      <c r="E33" s="4" t="inlineStr">
        <is>
          <t>Klein &amp; Regelmäßig</t>
        </is>
      </c>
      <c r="F33" s="4" t="inlineStr"/>
      <c r="G33" s="4" t="inlineStr"/>
      <c r="H33" s="4" t="inlineStr"/>
      <c r="I33" s="4" t="inlineStr"/>
      <c r="J33" s="9" t="inlineStr"/>
      <c r="K33" s="10" t="inlineStr"/>
      <c r="L33" s="11" t="inlineStr"/>
      <c r="M33" s="4" t="inlineStr"/>
      <c r="N33" s="4" t="inlineStr"/>
      <c r="O33" s="4" t="inlineStr"/>
      <c r="P33" s="4" t="inlineStr"/>
    </row>
    <row r="34">
      <c r="A34" s="4" t="inlineStr">
        <is>
          <t>Jugendtreff Hasen</t>
        </is>
      </c>
      <c r="B34" s="4" t="inlineStr">
        <is>
          <t>Kinder- &amp; Jugendarbeit</t>
        </is>
      </c>
      <c r="C34" s="4" t="inlineStr">
        <is>
          <t>Tuningen</t>
        </is>
      </c>
      <c r="D34" s="4" t="inlineStr">
        <is>
          <t>Jugendtreff-hasen@web.de</t>
        </is>
      </c>
      <c r="E34" s="4" t="inlineStr">
        <is>
          <t>Klein &amp; Regelmäßig</t>
        </is>
      </c>
      <c r="F34" s="4" t="inlineStr"/>
      <c r="G34" s="4" t="inlineStr"/>
      <c r="H34" s="4" t="inlineStr"/>
      <c r="I34" s="4" t="inlineStr"/>
      <c r="J34" s="9" t="inlineStr"/>
      <c r="K34" s="10" t="inlineStr"/>
      <c r="L34" s="11" t="inlineStr"/>
      <c r="M34" s="4" t="inlineStr"/>
      <c r="N34" s="4" t="inlineStr"/>
      <c r="O34" s="4" t="inlineStr"/>
      <c r="P34" s="4" t="inlineStr"/>
    </row>
    <row r="35">
      <c r="A35" s="4" t="inlineStr">
        <is>
          <t>Jugendclub Schabenhausen</t>
        </is>
      </c>
      <c r="B35" s="4" t="inlineStr">
        <is>
          <t>Kinder- &amp; Jugendarbeit</t>
        </is>
      </c>
      <c r="C35" s="4" t="inlineStr">
        <is>
          <t>Niedereschach</t>
        </is>
      </c>
      <c r="D35" s="4" t="inlineStr">
        <is>
          <t>info@jc-niederschach.de</t>
        </is>
      </c>
      <c r="E35" s="4" t="inlineStr">
        <is>
          <t>Klein &amp; Regelmäßig</t>
        </is>
      </c>
      <c r="F35" s="4" t="inlineStr"/>
      <c r="G35" s="4" t="inlineStr"/>
      <c r="H35" s="4" t="inlineStr"/>
      <c r="I35" s="4" t="inlineStr"/>
      <c r="J35" s="9" t="inlineStr"/>
      <c r="K35" s="10" t="inlineStr"/>
      <c r="L35" s="11" t="inlineStr"/>
      <c r="M35" s="4" t="inlineStr"/>
      <c r="N35" s="4" t="inlineStr"/>
      <c r="O35" s="4" t="inlineStr"/>
      <c r="P35" s="4" t="inlineStr"/>
    </row>
    <row r="36">
      <c r="A36" s="4" t="inlineStr">
        <is>
          <t>Naturparkschule Josef-Hebting-Schule</t>
        </is>
      </c>
      <c r="B36" s="4" t="inlineStr">
        <is>
          <t>Natur</t>
        </is>
      </c>
      <c r="C36" s="4" t="inlineStr">
        <is>
          <t>Vöhrenbach</t>
        </is>
      </c>
      <c r="D36" s="4" t="inlineStr">
        <is>
          <t>sekretariat@jhs-voehrenbach.de</t>
        </is>
      </c>
      <c r="E36" s="4" t="inlineStr">
        <is>
          <t>Klein &amp; Regelmäßig</t>
        </is>
      </c>
      <c r="F36" s="4" t="inlineStr"/>
      <c r="G36" s="4" t="inlineStr"/>
      <c r="H36" s="4" t="inlineStr"/>
      <c r="I36" s="4" t="inlineStr"/>
      <c r="J36" s="9" t="inlineStr"/>
      <c r="K36" s="10" t="inlineStr"/>
      <c r="L36" s="11" t="inlineStr"/>
      <c r="M36" s="4" t="inlineStr"/>
      <c r="N36" s="4" t="inlineStr"/>
      <c r="O36" s="4" t="inlineStr"/>
      <c r="P36" s="4" t="inlineStr"/>
    </row>
    <row r="37">
      <c r="A37" s="4" t="inlineStr">
        <is>
          <t>Jugendhaus Blumberg</t>
        </is>
      </c>
      <c r="B37" s="4" t="inlineStr">
        <is>
          <t>Kinder- &amp; Jugendarbeit</t>
        </is>
      </c>
      <c r="C37" s="4" t="inlineStr">
        <is>
          <t>Blumberg</t>
        </is>
      </c>
      <c r="D37" s="4" t="inlineStr">
        <is>
          <t>sasa.hustic@stadt-blumberg.de</t>
        </is>
      </c>
      <c r="E37" s="4" t="inlineStr">
        <is>
          <t>Klein &amp; Regelmäßig</t>
        </is>
      </c>
      <c r="F37" s="4" t="inlineStr"/>
      <c r="G37" s="4" t="inlineStr"/>
      <c r="H37" s="4" t="inlineStr"/>
      <c r="I37" s="4" t="inlineStr"/>
      <c r="J37" s="9" t="inlineStr"/>
      <c r="K37" s="10" t="inlineStr"/>
      <c r="L37" s="11" t="inlineStr"/>
      <c r="M37" s="4" t="inlineStr"/>
      <c r="N37" s="4" t="inlineStr"/>
      <c r="O37" s="4" t="inlineStr"/>
      <c r="P37" s="4" t="inlineStr"/>
    </row>
    <row r="38">
      <c r="A38" s="4" t="inlineStr">
        <is>
          <t>Jugendhaus Behla</t>
        </is>
      </c>
      <c r="B38" s="4" t="inlineStr">
        <is>
          <t>Kinder- &amp; Jugendarbeit</t>
        </is>
      </c>
      <c r="C38" s="4" t="inlineStr">
        <is>
          <t>Hüfingen</t>
        </is>
      </c>
      <c r="D38" s="4" t="inlineStr">
        <is>
          <t>Svenja.markowitsch@huefingen.de</t>
        </is>
      </c>
      <c r="E38" s="4" t="inlineStr">
        <is>
          <t>Klein &amp; Regelmäßig</t>
        </is>
      </c>
      <c r="F38" s="4" t="inlineStr"/>
      <c r="G38" s="4" t="inlineStr"/>
      <c r="H38" s="4" t="inlineStr"/>
      <c r="I38" s="4" t="inlineStr"/>
      <c r="J38" s="9" t="inlineStr"/>
      <c r="K38" s="10" t="inlineStr"/>
      <c r="L38" s="11" t="inlineStr"/>
      <c r="M38" s="4" t="inlineStr"/>
      <c r="N38" s="4" t="inlineStr"/>
      <c r="O38" s="4" t="inlineStr"/>
      <c r="P38" s="4" t="inlineStr"/>
    </row>
    <row r="39">
      <c r="A39" s="4" t="inlineStr">
        <is>
          <t>Generationentreff LEBENSWert</t>
        </is>
      </c>
      <c r="B39" s="4" t="inlineStr">
        <is>
          <t>Soziales</t>
        </is>
      </c>
      <c r="C39" s="4" t="inlineStr">
        <is>
          <t>Bad Dürrheim</t>
        </is>
      </c>
      <c r="D39" s="4" t="inlineStr">
        <is>
          <t>info@generationentreff-lebenswert.de</t>
        </is>
      </c>
      <c r="E39" s="4" t="inlineStr">
        <is>
          <t>Klein &amp; Regelmäßig</t>
        </is>
      </c>
      <c r="F39" s="4" t="inlineStr"/>
      <c r="G39" s="4" t="inlineStr"/>
      <c r="H39" s="4" t="inlineStr"/>
      <c r="I39" s="4" t="inlineStr"/>
      <c r="J39" s="9" t="inlineStr"/>
      <c r="K39" s="10" t="inlineStr"/>
      <c r="L39" s="11" t="inlineStr"/>
      <c r="M39" s="4" t="inlineStr"/>
      <c r="N39" s="4" t="inlineStr"/>
      <c r="O39" s="4" t="inlineStr"/>
      <c r="P39" s="4" t="inlineStr"/>
    </row>
    <row r="40">
      <c r="A40" s="4" t="inlineStr">
        <is>
          <t>Jugendmusikschule -- Musikalische Früherziehung</t>
        </is>
      </c>
      <c r="B40" s="4" t="inlineStr">
        <is>
          <t>Musik</t>
        </is>
      </c>
      <c r="C40" s="4" t="inlineStr">
        <is>
          <t>Triberg</t>
        </is>
      </c>
      <c r="D40" s="4" t="inlineStr">
        <is>
          <t>jms@jugendmusikschulen.de</t>
        </is>
      </c>
      <c r="E40" s="4" t="inlineStr">
        <is>
          <t>Klein &amp; Regelmäßig</t>
        </is>
      </c>
      <c r="F40" s="4" t="inlineStr"/>
      <c r="G40" s="4" t="inlineStr"/>
      <c r="H40" s="4" t="inlineStr"/>
      <c r="I40" s="4" t="inlineStr"/>
      <c r="J40" s="9" t="inlineStr"/>
      <c r="K40" s="10" t="inlineStr"/>
      <c r="L40" s="11" t="inlineStr"/>
      <c r="M40" s="4" t="inlineStr"/>
      <c r="N40" s="4" t="inlineStr"/>
      <c r="O40" s="4" t="inlineStr"/>
      <c r="P40" s="4" t="inlineStr"/>
    </row>
    <row r="41">
      <c r="A41" s="4" t="inlineStr">
        <is>
          <t>Jugendtreff</t>
        </is>
      </c>
      <c r="B41" s="4" t="inlineStr">
        <is>
          <t>Kinder- &amp; Jugendarbeit</t>
        </is>
      </c>
      <c r="C41" s="4" t="inlineStr">
        <is>
          <t>Furtwangen</t>
        </is>
      </c>
      <c r="D41" s="4" t="inlineStr">
        <is>
          <t>Dmaute.stadt@furtwangen.de</t>
        </is>
      </c>
      <c r="E41" s="4" t="inlineStr">
        <is>
          <t>Klein &amp; Regelmäßig</t>
        </is>
      </c>
      <c r="F41" s="4" t="inlineStr"/>
      <c r="G41" s="4" t="inlineStr"/>
      <c r="H41" s="4" t="inlineStr"/>
      <c r="I41" s="4" t="inlineStr"/>
      <c r="J41" s="9" t="inlineStr"/>
      <c r="K41" s="10" t="inlineStr"/>
      <c r="L41" s="11" t="inlineStr"/>
      <c r="M41" s="4" t="inlineStr"/>
      <c r="N41" s="4" t="inlineStr"/>
      <c r="O41" s="4" t="inlineStr"/>
      <c r="P41" s="4" t="inlineStr"/>
    </row>
    <row r="42">
      <c r="A42" s="4" t="inlineStr">
        <is>
          <t>Reitsportgemeinschaft Gnadental</t>
        </is>
      </c>
      <c r="B42" s="4" t="inlineStr">
        <is>
          <t>Sportangebot</t>
        </is>
      </c>
      <c r="C42" s="4" t="inlineStr">
        <is>
          <t>Donaueschingen</t>
        </is>
      </c>
      <c r="D42" s="4" t="inlineStr">
        <is>
          <t>(Tel. 0771 61723)</t>
        </is>
      </c>
      <c r="E42" s="4" t="inlineStr">
        <is>
          <t>Klein &amp; Regelmäßig</t>
        </is>
      </c>
      <c r="F42" s="4" t="inlineStr"/>
      <c r="G42" s="4" t="inlineStr"/>
      <c r="H42" s="4" t="inlineStr"/>
      <c r="I42" s="4" t="inlineStr"/>
      <c r="J42" s="9" t="inlineStr"/>
      <c r="K42" s="10" t="inlineStr"/>
      <c r="L42" s="11" t="inlineStr"/>
      <c r="M42" s="4" t="inlineStr"/>
      <c r="N42" s="4" t="inlineStr"/>
      <c r="O42" s="4" t="inlineStr"/>
      <c r="P42" s="4" t="inlineStr"/>
    </row>
    <row r="43">
      <c r="A43" s="4" t="inlineStr">
        <is>
          <t>Reit- und Fahrverein Donaueschingen e.V.</t>
        </is>
      </c>
      <c r="B43" s="4" t="inlineStr">
        <is>
          <t>Sportangebot</t>
        </is>
      </c>
      <c r="C43" s="4" t="inlineStr">
        <is>
          <t>Donaueschingen</t>
        </is>
      </c>
      <c r="D43" s="4" t="inlineStr">
        <is>
          <t>vorstand1@ruf-donaueschingen.de</t>
        </is>
      </c>
      <c r="E43" s="4" t="inlineStr">
        <is>
          <t>Klein &amp; Regelmäßig</t>
        </is>
      </c>
      <c r="F43" s="4" t="inlineStr"/>
      <c r="G43" s="4" t="inlineStr"/>
      <c r="H43" s="4" t="inlineStr"/>
      <c r="I43" s="4" t="inlineStr"/>
      <c r="J43" s="9" t="inlineStr"/>
      <c r="K43" s="10" t="inlineStr"/>
      <c r="L43" s="11" t="inlineStr"/>
      <c r="M43" s="4" t="inlineStr"/>
      <c r="N43" s="4" t="inlineStr"/>
      <c r="O43" s="4" t="inlineStr"/>
      <c r="P43" s="4" t="inlineStr"/>
    </row>
    <row r="44">
      <c r="A44" s="4" t="inlineStr">
        <is>
          <t>Jugendhaus Bohrturm</t>
        </is>
      </c>
      <c r="B44" s="4" t="inlineStr">
        <is>
          <t>Kinder- &amp; Jugendarbeit</t>
        </is>
      </c>
      <c r="C44" s="4" t="inlineStr">
        <is>
          <t>Bad Dürrheim</t>
        </is>
      </c>
      <c r="D44" s="4" t="inlineStr">
        <is>
          <t>jugendhaus@bad-duerrheim.de</t>
        </is>
      </c>
      <c r="E44" s="4" t="inlineStr">
        <is>
          <t>Klein &amp; Regelmäßig</t>
        </is>
      </c>
      <c r="F44" s="4" t="inlineStr"/>
      <c r="G44" s="4" t="inlineStr"/>
      <c r="H44" s="4" t="inlineStr"/>
      <c r="I44" s="4" t="inlineStr"/>
      <c r="J44" s="9" t="inlineStr"/>
      <c r="K44" s="10" t="inlineStr"/>
      <c r="L44" s="11" t="inlineStr"/>
      <c r="M44" s="4" t="inlineStr"/>
      <c r="N44" s="4" t="inlineStr"/>
      <c r="O44" s="4" t="inlineStr"/>
      <c r="P44" s="4" t="inlineStr"/>
    </row>
    <row r="45">
      <c r="A45" s="4" t="inlineStr">
        <is>
          <t>Jugendhaus Hüfingen</t>
        </is>
      </c>
      <c r="B45" s="4" t="inlineStr">
        <is>
          <t>Kinder- &amp; Jugendarbeit</t>
        </is>
      </c>
      <c r="C45" s="4" t="inlineStr">
        <is>
          <t>Hüfingen</t>
        </is>
      </c>
      <c r="D45" s="4" t="inlineStr">
        <is>
          <t>Svenja.markowitsch@huefingen.de</t>
        </is>
      </c>
      <c r="E45" s="4" t="inlineStr">
        <is>
          <t>Klein &amp; Regelmäßig</t>
        </is>
      </c>
      <c r="F45" s="4" t="inlineStr"/>
      <c r="G45" s="4" t="inlineStr"/>
      <c r="H45" s="4" t="inlineStr"/>
      <c r="I45" s="4" t="inlineStr"/>
      <c r="J45" s="9" t="inlineStr"/>
      <c r="K45" s="10" t="inlineStr"/>
      <c r="L45" s="11" t="inlineStr"/>
      <c r="M45" s="4" t="inlineStr"/>
      <c r="N45" s="4" t="inlineStr"/>
      <c r="O45" s="4" t="inlineStr"/>
      <c r="P45" s="4" t="inlineStr"/>
    </row>
    <row r="46">
      <c r="A46" s="4" t="inlineStr">
        <is>
          <t>Initiative Gesund leben in St. Georgen</t>
        </is>
      </c>
      <c r="B46" s="4" t="inlineStr">
        <is>
          <t>Prävention</t>
        </is>
      </c>
      <c r="C46" s="4" t="inlineStr">
        <is>
          <t>St. Georgen</t>
        </is>
      </c>
      <c r="D46" s="4" t="inlineStr">
        <is>
          <t>(Keine Mail gefunden)</t>
        </is>
      </c>
      <c r="E46" s="4" t="inlineStr">
        <is>
          <t>Klein &amp; Gelegentlich</t>
        </is>
      </c>
      <c r="F46" s="4" t="inlineStr"/>
      <c r="G46" s="4" t="inlineStr"/>
      <c r="H46" s="4" t="inlineStr"/>
      <c r="I46" s="4" t="inlineStr"/>
      <c r="J46" s="9" t="inlineStr"/>
      <c r="K46" s="10" t="inlineStr"/>
      <c r="L46" s="11" t="inlineStr"/>
      <c r="M46" s="4" t="inlineStr"/>
      <c r="N46" s="4" t="inlineStr"/>
      <c r="O46" s="4" t="inlineStr"/>
      <c r="P46" s="4" t="inlineStr"/>
    </row>
    <row r="47">
      <c r="A47" s="4" t="inlineStr">
        <is>
          <t>Blaues Kreuz in Deutschland e.V.</t>
        </is>
      </c>
      <c r="B47" s="4" t="inlineStr">
        <is>
          <t>Prävention</t>
        </is>
      </c>
      <c r="C47" s="4" t="inlineStr">
        <is>
          <t>St. Georgen</t>
        </is>
      </c>
      <c r="D47" s="4" t="inlineStr">
        <is>
          <t>b.becker@bluprevent.de</t>
        </is>
      </c>
      <c r="E47" s="4" t="inlineStr">
        <is>
          <t>Klein &amp; Gelegentlich</t>
        </is>
      </c>
      <c r="F47" s="4" t="inlineStr"/>
      <c r="G47" s="4" t="inlineStr"/>
      <c r="H47" s="4" t="inlineStr"/>
      <c r="I47" s="4" t="inlineStr"/>
      <c r="J47" s="9" t="inlineStr"/>
      <c r="K47" s="10" t="inlineStr"/>
      <c r="L47" s="11" t="inlineStr"/>
      <c r="M47" s="4" t="inlineStr"/>
      <c r="N47" s="4" t="inlineStr"/>
      <c r="O47" s="4" t="inlineStr"/>
      <c r="P47" s="4" t="inlineStr"/>
    </row>
    <row r="48">
      <c r="A48" s="4" t="inlineStr">
        <is>
          <t>Kegel Sport Club Brigachtal</t>
        </is>
      </c>
      <c r="B48" s="4" t="inlineStr">
        <is>
          <t>Sportangebot</t>
        </is>
      </c>
      <c r="C48" s="4" t="inlineStr">
        <is>
          <t>Brigachtal</t>
        </is>
      </c>
      <c r="D48" s="4" t="inlineStr">
        <is>
          <t>Gunnar.tr@web.de</t>
        </is>
      </c>
      <c r="E48" s="4" t="inlineStr">
        <is>
          <t>Klein &amp; Gelegentlich</t>
        </is>
      </c>
      <c r="F48" s="4" t="inlineStr"/>
      <c r="G48" s="4" t="inlineStr"/>
      <c r="H48" s="4" t="inlineStr"/>
      <c r="I48" s="4" t="inlineStr"/>
      <c r="J48" s="9" t="inlineStr"/>
      <c r="K48" s="10" t="inlineStr"/>
      <c r="L48" s="11" t="inlineStr"/>
      <c r="M48" s="4" t="inlineStr"/>
      <c r="N48" s="4" t="inlineStr"/>
      <c r="O48" s="4" t="inlineStr"/>
      <c r="P48" s="4" t="inlineStr"/>
    </row>
    <row r="49">
      <c r="A49" s="4" t="inlineStr">
        <is>
          <t>Fischereigemeinschaft Gütenbach</t>
        </is>
      </c>
      <c r="B49" s="4" t="inlineStr">
        <is>
          <t>Sportangebot</t>
        </is>
      </c>
      <c r="C49" s="4" t="inlineStr">
        <is>
          <t>Gütenbach</t>
        </is>
      </c>
      <c r="D49" s="4" t="inlineStr">
        <is>
          <t>info@guetenbach.de</t>
        </is>
      </c>
      <c r="E49" s="4" t="inlineStr">
        <is>
          <t>Klein &amp; Gelegentlich</t>
        </is>
      </c>
      <c r="F49" s="4" t="inlineStr"/>
      <c r="G49" s="4" t="inlineStr"/>
      <c r="H49" s="4" t="inlineStr"/>
      <c r="I49" s="4" t="inlineStr"/>
      <c r="J49" s="9" t="inlineStr"/>
      <c r="K49" s="10" t="inlineStr"/>
      <c r="L49" s="11" t="inlineStr"/>
      <c r="M49" s="4" t="inlineStr"/>
      <c r="N49" s="4" t="inlineStr"/>
      <c r="O49" s="4" t="inlineStr"/>
      <c r="P49" s="4" t="inlineStr"/>
    </row>
    <row r="50">
      <c r="A50" s="4" t="inlineStr">
        <is>
          <t>Sportkegelclub Kegelfreunde Unterkirnach</t>
        </is>
      </c>
      <c r="B50" s="4" t="inlineStr">
        <is>
          <t>Sportangebot</t>
        </is>
      </c>
      <c r="C50" s="4" t="inlineStr">
        <is>
          <t>Unterkirnach</t>
        </is>
      </c>
      <c r="D50" s="4" t="inlineStr">
        <is>
          <t>vorstand.skckegelfreundeunterkirnach@gmx.de</t>
        </is>
      </c>
      <c r="E50" s="4" t="inlineStr">
        <is>
          <t>Klein &amp; Gelegentlich</t>
        </is>
      </c>
      <c r="F50" s="4" t="inlineStr"/>
      <c r="G50" s="4" t="inlineStr"/>
      <c r="H50" s="4" t="inlineStr"/>
      <c r="I50" s="4" t="inlineStr"/>
      <c r="J50" s="9" t="inlineStr"/>
      <c r="K50" s="10" t="inlineStr"/>
      <c r="L50" s="11" t="inlineStr"/>
      <c r="M50" s="4" t="inlineStr"/>
      <c r="N50" s="4" t="inlineStr"/>
      <c r="O50" s="4" t="inlineStr"/>
      <c r="P50" s="4" t="inlineStr"/>
    </row>
    <row r="51">
      <c r="A51" s="4" t="inlineStr">
        <is>
          <t>Harmonikaverein &amp; Josef-Hebting-Schule</t>
        </is>
      </c>
      <c r="B51" s="4" t="inlineStr">
        <is>
          <t>Musik</t>
        </is>
      </c>
      <c r="C51" s="4" t="inlineStr">
        <is>
          <t>Vöhrenbach</t>
        </is>
      </c>
      <c r="D51" s="4" t="inlineStr">
        <is>
          <t>marinaguenter@gmx.de</t>
        </is>
      </c>
      <c r="E51" s="4" t="inlineStr">
        <is>
          <t>Klein &amp; Gelegentlich</t>
        </is>
      </c>
      <c r="F51" s="4" t="inlineStr"/>
      <c r="G51" s="4" t="inlineStr"/>
      <c r="H51" s="4" t="inlineStr"/>
      <c r="I51" s="4" t="inlineStr"/>
      <c r="J51" s="9" t="inlineStr"/>
      <c r="K51" s="10" t="inlineStr"/>
      <c r="L51" s="11" t="inlineStr"/>
      <c r="M51" s="4" t="inlineStr"/>
      <c r="N51" s="4" t="inlineStr"/>
      <c r="O51" s="4" t="inlineStr"/>
      <c r="P51" s="4" t="inlineStr"/>
    </row>
    <row r="52">
      <c r="A52" s="4" t="inlineStr">
        <is>
          <t>VHS Tuningen</t>
        </is>
      </c>
      <c r="B52" s="4" t="inlineStr">
        <is>
          <t>Bildung</t>
        </is>
      </c>
      <c r="C52" s="4" t="inlineStr">
        <is>
          <t>Tuningen</t>
        </is>
      </c>
      <c r="D52" s="4" t="inlineStr">
        <is>
          <t>vhs@villingen-schwenningen.de</t>
        </is>
      </c>
      <c r="E52" s="4" t="inlineStr">
        <is>
          <t>Klein &amp; Gelegentlich</t>
        </is>
      </c>
      <c r="F52" s="4" t="inlineStr"/>
      <c r="G52" s="4" t="inlineStr"/>
      <c r="H52" s="4" t="inlineStr"/>
      <c r="I52" s="4" t="inlineStr"/>
      <c r="J52" s="9" t="inlineStr"/>
      <c r="K52" s="10" t="inlineStr"/>
      <c r="L52" s="11" t="inlineStr"/>
      <c r="M52" s="4" t="inlineStr"/>
      <c r="N52" s="4" t="inlineStr"/>
      <c r="O52" s="4" t="inlineStr"/>
      <c r="P52" s="4" t="inlineStr"/>
    </row>
    <row r="53">
      <c r="A53" s="4" t="inlineStr">
        <is>
          <t>Feuerwehr Schonach</t>
        </is>
      </c>
      <c r="B53" s="4" t="inlineStr">
        <is>
          <t>BOS</t>
        </is>
      </c>
      <c r="C53" s="4" t="inlineStr">
        <is>
          <t>Schonach</t>
        </is>
      </c>
      <c r="D53" s="4" t="inlineStr">
        <is>
          <t>ts@feuerwehr-schonach.de</t>
        </is>
      </c>
      <c r="E53" s="4" t="inlineStr">
        <is>
          <t>Klein &amp; Gelegentlich</t>
        </is>
      </c>
      <c r="F53" s="4" t="inlineStr"/>
      <c r="G53" s="4" t="inlineStr"/>
      <c r="H53" s="4" t="inlineStr"/>
      <c r="I53" s="4" t="inlineStr"/>
      <c r="J53" s="9" t="inlineStr"/>
      <c r="K53" s="10" t="inlineStr"/>
      <c r="L53" s="11" t="inlineStr"/>
      <c r="M53" s="4" t="inlineStr"/>
      <c r="N53" s="4" t="inlineStr"/>
      <c r="O53" s="4" t="inlineStr"/>
      <c r="P53" s="4" t="inlineStr"/>
    </row>
    <row r="54">
      <c r="A54" s="4" t="inlineStr">
        <is>
          <t>Städtischer Familienpass</t>
        </is>
      </c>
      <c r="B54" s="4" t="inlineStr">
        <is>
          <t>Kinder- &amp; Jugendarbeit</t>
        </is>
      </c>
      <c r="C54" s="4" t="inlineStr">
        <is>
          <t>Bräunlingen</t>
        </is>
      </c>
      <c r="D54" s="4" t="inlineStr">
        <is>
          <t>Stephanie.engesser@braeunlingen.de</t>
        </is>
      </c>
      <c r="E54" s="4" t="inlineStr">
        <is>
          <t>Klein &amp; Gelegentlich</t>
        </is>
      </c>
      <c r="F54" s="4" t="inlineStr"/>
      <c r="G54" s="4" t="inlineStr"/>
      <c r="H54" s="4" t="inlineStr"/>
      <c r="I54" s="4" t="inlineStr"/>
      <c r="J54" s="9" t="inlineStr"/>
      <c r="K54" s="10" t="inlineStr"/>
      <c r="L54" s="11" t="inlineStr"/>
      <c r="M54" s="4" t="inlineStr"/>
      <c r="N54" s="4" t="inlineStr"/>
      <c r="O54" s="4" t="inlineStr"/>
      <c r="P54" s="4" t="inlineStr"/>
    </row>
    <row r="55">
      <c r="A55" s="4" t="inlineStr">
        <is>
          <t>SBBZ Weiherdammschule</t>
        </is>
      </c>
      <c r="B55" s="4" t="inlineStr">
        <is>
          <t>Bildung / Beratung</t>
        </is>
      </c>
      <c r="C55" s="4" t="inlineStr">
        <is>
          <t>Blumberg</t>
        </is>
      </c>
      <c r="D55" s="4" t="inlineStr">
        <is>
          <t>info@weiherdammschule-blumberg.de</t>
        </is>
      </c>
      <c r="E55" s="4" t="inlineStr">
        <is>
          <t>Klein &amp; Gelegentlich</t>
        </is>
      </c>
      <c r="F55" s="4" t="inlineStr"/>
      <c r="G55" s="4" t="inlineStr"/>
      <c r="H55" s="4" t="inlineStr"/>
      <c r="I55" s="4" t="inlineStr"/>
      <c r="J55" s="9" t="inlineStr"/>
      <c r="K55" s="10" t="inlineStr"/>
      <c r="L55" s="11" t="inlineStr"/>
      <c r="M55" s="4" t="inlineStr"/>
      <c r="N55" s="4" t="inlineStr"/>
      <c r="O55" s="4" t="inlineStr"/>
      <c r="P55" s="4" t="inlineStr"/>
    </row>
    <row r="56">
      <c r="A56" s="4" t="inlineStr">
        <is>
          <t>Schulsozialarbeit GMS Eschach-Neckar</t>
        </is>
      </c>
      <c r="B56" s="4" t="inlineStr">
        <is>
          <t>Kinder- &amp; Jugendarbeit</t>
        </is>
      </c>
      <c r="C56" s="4" t="inlineStr">
        <is>
          <t>Niedereschach</t>
        </is>
      </c>
      <c r="D56" s="4" t="inlineStr">
        <is>
          <t>d_storz@lfa.org</t>
        </is>
      </c>
      <c r="E56" s="4" t="inlineStr">
        <is>
          <t>Klein &amp; Gelegentlich</t>
        </is>
      </c>
      <c r="F56" s="4" t="inlineStr"/>
      <c r="G56" s="4" t="inlineStr"/>
      <c r="H56" s="4" t="inlineStr"/>
      <c r="I56" s="4" t="inlineStr"/>
      <c r="J56" s="9" t="inlineStr"/>
      <c r="K56" s="10" t="inlineStr"/>
      <c r="L56" s="11" t="inlineStr"/>
      <c r="M56" s="4" t="inlineStr"/>
      <c r="N56" s="4" t="inlineStr"/>
      <c r="O56" s="4" t="inlineStr"/>
      <c r="P56" s="4" t="inlineStr"/>
    </row>
    <row r="57">
      <c r="A57" s="4" t="inlineStr">
        <is>
          <t>Sportkegelclub Rot-Weiß Unterkirnach</t>
        </is>
      </c>
      <c r="B57" s="4" t="inlineStr">
        <is>
          <t>Sportangebot</t>
        </is>
      </c>
      <c r="C57" s="4" t="inlineStr">
        <is>
          <t>Unterkirnach</t>
        </is>
      </c>
      <c r="D57" s="4" t="inlineStr">
        <is>
          <t>michaelstorzukn@t-online.de</t>
        </is>
      </c>
      <c r="E57" s="4" t="inlineStr">
        <is>
          <t>Klein &amp; Gelegentlich</t>
        </is>
      </c>
      <c r="F57" s="4" t="inlineStr"/>
      <c r="G57" s="4" t="inlineStr"/>
      <c r="H57" s="4" t="inlineStr"/>
      <c r="I57" s="4" t="inlineStr"/>
      <c r="J57" s="9" t="inlineStr"/>
      <c r="K57" s="10" t="inlineStr"/>
      <c r="L57" s="11" t="inlineStr"/>
      <c r="M57" s="4" t="inlineStr"/>
      <c r="N57" s="4" t="inlineStr"/>
      <c r="O57" s="4" t="inlineStr"/>
      <c r="P57" s="4" t="inlineStr"/>
    </row>
    <row r="58">
      <c r="A58" s="4" t="inlineStr">
        <is>
          <t>Trachtenkapelle Buchenberg</t>
        </is>
      </c>
      <c r="B58" s="4" t="inlineStr">
        <is>
          <t>Musik</t>
        </is>
      </c>
      <c r="C58" s="4" t="inlineStr">
        <is>
          <t>Königsfeld</t>
        </is>
      </c>
      <c r="D58" s="4" t="inlineStr">
        <is>
          <t>tk-buchenberg@t-online.de</t>
        </is>
      </c>
      <c r="E58" s="4" t="inlineStr">
        <is>
          <t>Klein &amp; Gelegentlich</t>
        </is>
      </c>
      <c r="F58" s="4" t="inlineStr"/>
      <c r="G58" s="4" t="inlineStr"/>
      <c r="H58" s="4" t="inlineStr"/>
      <c r="I58" s="4" t="inlineStr"/>
      <c r="J58" s="9" t="inlineStr"/>
      <c r="K58" s="10" t="inlineStr"/>
      <c r="L58" s="11" t="inlineStr"/>
      <c r="M58" s="4" t="inlineStr"/>
      <c r="N58" s="4" t="inlineStr"/>
      <c r="O58" s="4" t="inlineStr"/>
      <c r="P58" s="4" t="inlineStr"/>
    </row>
  </sheetData>
  <autoFilter ref="A4:P58"/>
  <conditionalFormatting sqref="F5:F15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4">
    <dataValidation sqref="F5:F154" showDropDown="0" showInputMessage="0" showErrorMessage="0" allowBlank="1" type="list">
      <formula1>"Kontaktiert,Nachfragen,Zusage,Terminiert,Durchgeführt,Abgeschlossen,Absage"</formula1>
    </dataValidation>
    <dataValidation sqref="H5:I154" showDropDown="0" showInputMessage="0" showErrorMessage="0" allowBlank="1" type="list">
      <formula1>"Andreas Braxmeier,Nadine Beha,Sophie Scheffler,Ragavi Anusujantha,Nina Ludwig"</formula1>
    </dataValidation>
    <dataValidation sqref="M5:M154" showDropDown="0" showInputMessage="0" showErrorMessage="0" allowBlank="1" type="list">
      <formula1>"Zoom,Präsenz,Telefon,Teams,Sonstiges"</formula1>
    </dataValidation>
    <dataValidation sqref="O5:O154" showDropDown="0" showInputMessage="0" showErrorMessage="0" allowBlank="1" type="list">
      <formula1>"Bedarfsanalyse,Versorgungslage,Kooperationen,Prävention,Zugangsbarrieren,Best Practices,Zukunftswünsche,Sonstiges"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GROSS &amp; REGELMÄSSIG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9" t="inlineStr"/>
      <c r="K5" s="10" t="inlineStr"/>
      <c r="L5" s="11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9" t="inlineStr"/>
      <c r="K6" s="10" t="inlineStr"/>
      <c r="L6" s="11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9" t="inlineStr"/>
      <c r="K7" s="10" t="inlineStr"/>
      <c r="L7" s="11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9" t="inlineStr"/>
      <c r="K8" s="10" t="inlineStr"/>
      <c r="L8" s="11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9" t="inlineStr"/>
      <c r="K9" s="10" t="inlineStr"/>
      <c r="L9" s="11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9" t="inlineStr"/>
      <c r="K10" s="10" t="inlineStr"/>
      <c r="L10" s="11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9" t="inlineStr"/>
      <c r="K11" s="10" t="inlineStr"/>
      <c r="L11" s="11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9" t="inlineStr"/>
      <c r="K12" s="10" t="inlineStr"/>
      <c r="L12" s="11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9" t="inlineStr"/>
      <c r="K13" s="10" t="inlineStr"/>
      <c r="L13" s="11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9" t="inlineStr"/>
      <c r="K14" s="10" t="inlineStr"/>
      <c r="L14" s="11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9" t="inlineStr"/>
      <c r="K15" s="10" t="inlineStr"/>
      <c r="L15" s="11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9" t="inlineStr"/>
      <c r="K16" s="10" t="inlineStr"/>
      <c r="L16" s="11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9" t="inlineStr"/>
      <c r="K17" s="10" t="inlineStr"/>
      <c r="L17" s="11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4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"Andreas Braxmeier,Nadine Beha,Sophie Scheffler,Ragavi Anusujantha,Nina Ludwig"</formula1>
    </dataValidation>
    <dataValidation sqref="M5:M113" showDropDown="0" showInputMessage="0" showErrorMessage="0" allowBlank="1" type="list">
      <formula1>"Zoom,Präsenz,Telefon,Teams,Sonstiges"</formula1>
    </dataValidation>
    <dataValidation sqref="O5:O113" showDropDown="0" showInputMessage="0" showErrorMessage="0" allowBlank="1" type="list">
      <formula1>"Bedarfsanalyse,Versorgungslage,Kooperationen,Prävention,Zugangsbarrieren,Best Practices,Zukunftswünsche,Sonstiges"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GROSS &amp; GELEGENTLICH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BEKJ Villingen-Schwenningen</t>
        </is>
      </c>
      <c r="B5" s="4" t="inlineStr">
        <is>
          <t>Beratung</t>
        </is>
      </c>
      <c r="C5" s="4" t="inlineStr">
        <is>
          <t>Villingen-Schwenningen</t>
        </is>
      </c>
      <c r="D5" s="4" t="inlineStr">
        <is>
          <t>beratungsstelle-bekj-fw@Lrasbk.de</t>
        </is>
      </c>
      <c r="E5" s="4" t="inlineStr">
        <is>
          <t>Groß &amp; Gelegentlich</t>
        </is>
      </c>
      <c r="F5" s="4" t="inlineStr"/>
      <c r="G5" s="4" t="inlineStr"/>
      <c r="H5" s="4" t="inlineStr"/>
      <c r="I5" s="4" t="inlineStr"/>
      <c r="J5" s="9" t="inlineStr"/>
      <c r="K5" s="10" t="inlineStr"/>
      <c r="L5" s="11" t="inlineStr"/>
      <c r="M5" s="4" t="inlineStr"/>
      <c r="N5" s="4" t="inlineStr"/>
      <c r="O5" s="4" t="inlineStr"/>
      <c r="P5" s="4" t="inlineStr"/>
    </row>
    <row r="6">
      <c r="A6" s="4" t="inlineStr">
        <is>
          <t>Polizei Triberg -- Präventionsvorträge</t>
        </is>
      </c>
      <c r="B6" s="4" t="inlineStr">
        <is>
          <t>Prävention</t>
        </is>
      </c>
      <c r="C6" s="4" t="inlineStr">
        <is>
          <t>Triberg</t>
        </is>
      </c>
      <c r="D6" s="4" t="inlineStr">
        <is>
          <t>Keine E-Mail!</t>
        </is>
      </c>
      <c r="E6" s="4" t="inlineStr">
        <is>
          <t>Groß &amp; Gelegentlich</t>
        </is>
      </c>
      <c r="F6" s="4" t="inlineStr"/>
      <c r="G6" s="4" t="inlineStr"/>
      <c r="H6" s="4" t="inlineStr"/>
      <c r="I6" s="4" t="inlineStr"/>
      <c r="J6" s="9" t="inlineStr"/>
      <c r="K6" s="10" t="inlineStr"/>
      <c r="L6" s="11" t="inlineStr"/>
      <c r="M6" s="4" t="inlineStr"/>
      <c r="N6" s="4" t="inlineStr"/>
      <c r="O6" s="4" t="inlineStr"/>
      <c r="P6" s="4" t="inlineStr"/>
    </row>
    <row r="7">
      <c r="A7" s="4" t="inlineStr">
        <is>
          <t>Schwarzwald-Gymnasium</t>
        </is>
      </c>
      <c r="B7" s="4" t="inlineStr">
        <is>
          <t>Beratung</t>
        </is>
      </c>
      <c r="C7" s="4" t="inlineStr">
        <is>
          <t>Triberg</t>
        </is>
      </c>
      <c r="D7" s="4" t="inlineStr">
        <is>
          <t>rf@schwarzwald-gymnasium.de</t>
        </is>
      </c>
      <c r="E7" s="4" t="inlineStr">
        <is>
          <t>Groß &amp; Gelegentlich</t>
        </is>
      </c>
      <c r="F7" s="4" t="inlineStr"/>
      <c r="G7" s="4" t="inlineStr"/>
      <c r="H7" s="4" t="inlineStr"/>
      <c r="I7" s="4" t="inlineStr"/>
      <c r="J7" s="9" t="inlineStr"/>
      <c r="K7" s="10" t="inlineStr"/>
      <c r="L7" s="11" t="inlineStr"/>
      <c r="M7" s="4" t="inlineStr"/>
      <c r="N7" s="4" t="inlineStr"/>
      <c r="O7" s="4" t="inlineStr"/>
      <c r="P7" s="4" t="inlineStr"/>
    </row>
    <row r="8">
      <c r="A8" s="4" t="inlineStr">
        <is>
          <t>Lernort Natur -- Jägervereinigung SBK</t>
        </is>
      </c>
      <c r="B8" s="4" t="inlineStr">
        <is>
          <t>Natur</t>
        </is>
      </c>
      <c r="C8" s="4" t="inlineStr">
        <is>
          <t>SBK</t>
        </is>
      </c>
      <c r="D8" s="4" t="inlineStr">
        <is>
          <t>kjm-kjv-sbk@outlook.de</t>
        </is>
      </c>
      <c r="E8" s="4" t="inlineStr">
        <is>
          <t>Groß &amp; Gelegentlich</t>
        </is>
      </c>
      <c r="F8" s="4" t="inlineStr"/>
      <c r="G8" s="4" t="inlineStr"/>
      <c r="H8" s="4" t="inlineStr"/>
      <c r="I8" s="4" t="inlineStr"/>
      <c r="J8" s="9" t="inlineStr"/>
      <c r="K8" s="10" t="inlineStr"/>
      <c r="L8" s="11" t="inlineStr"/>
      <c r="M8" s="4" t="inlineStr"/>
      <c r="N8" s="4" t="inlineStr"/>
      <c r="O8" s="4" t="inlineStr"/>
      <c r="P8" s="4" t="inlineStr"/>
    </row>
    <row r="9">
      <c r="A9" s="4" t="inlineStr">
        <is>
          <t>Naturfreunde</t>
        </is>
      </c>
      <c r="B9" s="4" t="inlineStr">
        <is>
          <t>Umweltschutz</t>
        </is>
      </c>
      <c r="C9" s="4" t="inlineStr">
        <is>
          <t>Bräunlingen</t>
        </is>
      </c>
      <c r="D9" s="4" t="inlineStr">
        <is>
          <t>naturfreunde-braeunlingen@gmx.de</t>
        </is>
      </c>
      <c r="E9" s="4" t="inlineStr">
        <is>
          <t>Groß &amp; Gelegentlich</t>
        </is>
      </c>
      <c r="F9" s="4" t="inlineStr"/>
      <c r="G9" s="4" t="inlineStr"/>
      <c r="H9" s="4" t="inlineStr"/>
      <c r="I9" s="4" t="inlineStr"/>
      <c r="J9" s="9" t="inlineStr"/>
      <c r="K9" s="10" t="inlineStr"/>
      <c r="L9" s="11" t="inlineStr"/>
      <c r="M9" s="4" t="inlineStr"/>
      <c r="N9" s="4" t="inlineStr"/>
      <c r="O9" s="4" t="inlineStr"/>
      <c r="P9" s="4" t="inlineStr"/>
    </row>
    <row r="10">
      <c r="A10" s="4" t="inlineStr">
        <is>
          <t>Kontaktstelle Beratung &amp; Freizeit</t>
        </is>
      </c>
      <c r="B10" s="4" t="inlineStr">
        <is>
          <t>Soziales</t>
        </is>
      </c>
      <c r="C10" s="4" t="inlineStr">
        <is>
          <t>Donaueschingen</t>
        </is>
      </c>
      <c r="D10" s="4" t="inlineStr">
        <is>
          <t>David.Mueller@Bruderhausdiakonie.de</t>
        </is>
      </c>
      <c r="E10" s="4" t="inlineStr">
        <is>
          <t>Groß &amp; Gelegentlich</t>
        </is>
      </c>
      <c r="F10" s="4" t="inlineStr"/>
      <c r="G10" s="4" t="inlineStr"/>
      <c r="H10" s="4" t="inlineStr"/>
      <c r="I10" s="4" t="inlineStr"/>
      <c r="J10" s="9" t="inlineStr"/>
      <c r="K10" s="10" t="inlineStr"/>
      <c r="L10" s="11" t="inlineStr"/>
      <c r="M10" s="4" t="inlineStr"/>
      <c r="N10" s="4" t="inlineStr"/>
      <c r="O10" s="4" t="inlineStr"/>
      <c r="P10" s="4" t="inlineStr"/>
    </row>
    <row r="11">
      <c r="A11" s="4" t="inlineStr">
        <is>
          <t>Schulnetzwerk</t>
        </is>
      </c>
      <c r="B11" s="4" t="inlineStr">
        <is>
          <t>Bildung</t>
        </is>
      </c>
      <c r="C11" s="4" t="inlineStr">
        <is>
          <t>St. Georgen</t>
        </is>
      </c>
      <c r="D11" s="4" t="inlineStr">
        <is>
          <t>sekretariat@rsstg.de</t>
        </is>
      </c>
      <c r="E11" s="4" t="inlineStr">
        <is>
          <t>Groß &amp; Gelegentlich</t>
        </is>
      </c>
      <c r="F11" s="4" t="inlineStr"/>
      <c r="G11" s="4" t="inlineStr"/>
      <c r="H11" s="4" t="inlineStr"/>
      <c r="I11" s="4" t="inlineStr"/>
      <c r="J11" s="9" t="inlineStr"/>
      <c r="K11" s="10" t="inlineStr"/>
      <c r="L11" s="11" t="inlineStr"/>
      <c r="M11" s="4" t="inlineStr"/>
      <c r="N11" s="4" t="inlineStr"/>
      <c r="O11" s="4" t="inlineStr"/>
      <c r="P11" s="4" t="inlineStr"/>
    </row>
    <row r="12">
      <c r="A12" s="4" t="inlineStr">
        <is>
          <t>AWO Kinder- und Jugendhilfe</t>
        </is>
      </c>
      <c r="B12" s="4" t="inlineStr">
        <is>
          <t>Soziales</t>
        </is>
      </c>
      <c r="C12" s="4" t="inlineStr">
        <is>
          <t>Villingen-Schwenningen</t>
        </is>
      </c>
      <c r="D12" s="4" t="inlineStr">
        <is>
          <t>s.brunner@awo-ov-vs.de</t>
        </is>
      </c>
      <c r="E12" s="4" t="inlineStr">
        <is>
          <t>Groß &amp; Gelegentlich</t>
        </is>
      </c>
      <c r="F12" s="4" t="inlineStr"/>
      <c r="G12" s="4" t="inlineStr"/>
      <c r="H12" s="4" t="inlineStr"/>
      <c r="I12" s="4" t="inlineStr"/>
      <c r="J12" s="9" t="inlineStr"/>
      <c r="K12" s="10" t="inlineStr"/>
      <c r="L12" s="11" t="inlineStr"/>
      <c r="M12" s="4" t="inlineStr"/>
      <c r="N12" s="4" t="inlineStr"/>
      <c r="O12" s="4" t="inlineStr"/>
      <c r="P12" s="4" t="inlineStr"/>
    </row>
    <row r="13">
      <c r="A13" s="4" t="inlineStr">
        <is>
          <t>DRK -- Psychosoziale Notfallvorsorge</t>
        </is>
      </c>
      <c r="B13" s="4" t="inlineStr">
        <is>
          <t>BOS</t>
        </is>
      </c>
      <c r="C13" s="4" t="inlineStr">
        <is>
          <t>Villingen-Schwenningen</t>
        </is>
      </c>
      <c r="D13" s="4" t="inlineStr">
        <is>
          <t>mail@psnv-sbk.de</t>
        </is>
      </c>
      <c r="E13" s="4" t="inlineStr">
        <is>
          <t>Groß &amp; Gelegentlich</t>
        </is>
      </c>
      <c r="F13" s="4" t="inlineStr"/>
      <c r="G13" s="4" t="inlineStr"/>
      <c r="H13" s="4" t="inlineStr"/>
      <c r="I13" s="4" t="inlineStr"/>
      <c r="J13" s="9" t="inlineStr"/>
      <c r="K13" s="10" t="inlineStr"/>
      <c r="L13" s="11" t="inlineStr"/>
      <c r="M13" s="4" t="inlineStr"/>
      <c r="N13" s="4" t="inlineStr"/>
      <c r="O13" s="4" t="inlineStr"/>
      <c r="P13" s="4" t="inlineStr"/>
    </row>
    <row r="14">
      <c r="A14" s="4" t="inlineStr">
        <is>
          <t>Projekt Bewegte Schule -- Dom-Clemente-Schule</t>
        </is>
      </c>
      <c r="B14" s="4" t="inlineStr">
        <is>
          <t>Sportangebot</t>
        </is>
      </c>
      <c r="C14" s="4" t="inlineStr">
        <is>
          <t>Schonach</t>
        </is>
      </c>
      <c r="D14" s="4" t="inlineStr">
        <is>
          <t>d.tritschler@schonach.de</t>
        </is>
      </c>
      <c r="E14" s="4" t="inlineStr">
        <is>
          <t>Groß &amp; Gelegentlich</t>
        </is>
      </c>
      <c r="F14" s="4" t="inlineStr"/>
      <c r="G14" s="4" t="inlineStr"/>
      <c r="H14" s="4" t="inlineStr"/>
      <c r="I14" s="4" t="inlineStr"/>
      <c r="J14" s="9" t="inlineStr"/>
      <c r="K14" s="10" t="inlineStr"/>
      <c r="L14" s="11" t="inlineStr"/>
      <c r="M14" s="4" t="inlineStr"/>
      <c r="N14" s="4" t="inlineStr"/>
      <c r="O14" s="4" t="inlineStr"/>
      <c r="P14" s="4" t="inlineStr"/>
    </row>
    <row r="15">
      <c r="A15" s="4" t="inlineStr">
        <is>
          <t>Schönwälder Naturfreibad</t>
        </is>
      </c>
      <c r="B15" s="4" t="inlineStr">
        <is>
          <t>Sportstätte</t>
        </is>
      </c>
      <c r="C15" s="4" t="inlineStr">
        <is>
          <t>Schönwald</t>
        </is>
      </c>
      <c r="D15" s="4" t="inlineStr">
        <is>
          <t>mail@schoenwald.de</t>
        </is>
      </c>
      <c r="E15" s="4" t="inlineStr">
        <is>
          <t>Groß &amp; Gelegentlich</t>
        </is>
      </c>
      <c r="F15" s="4" t="inlineStr"/>
      <c r="G15" s="4" t="inlineStr"/>
      <c r="H15" s="4" t="inlineStr"/>
      <c r="I15" s="4" t="inlineStr"/>
      <c r="J15" s="9" t="inlineStr"/>
      <c r="K15" s="10" t="inlineStr"/>
      <c r="L15" s="11" t="inlineStr"/>
      <c r="M15" s="4" t="inlineStr"/>
      <c r="N15" s="4" t="inlineStr"/>
      <c r="O15" s="4" t="inlineStr"/>
      <c r="P15" s="4" t="inlineStr"/>
    </row>
    <row r="16">
      <c r="A16" s="4" t="inlineStr">
        <is>
          <t>Freibad Tannheim</t>
        </is>
      </c>
      <c r="B16" s="4" t="inlineStr">
        <is>
          <t>Sportstätte</t>
        </is>
      </c>
      <c r="C16" s="4" t="inlineStr">
        <is>
          <t>Tannheim</t>
        </is>
      </c>
      <c r="D16" s="4" t="inlineStr">
        <is>
          <t>info@freibad-tannheim.de</t>
        </is>
      </c>
      <c r="E16" s="4" t="inlineStr">
        <is>
          <t>Groß &amp; Gelegentlich</t>
        </is>
      </c>
      <c r="F16" s="4" t="inlineStr"/>
      <c r="G16" s="4" t="inlineStr"/>
      <c r="H16" s="4" t="inlineStr"/>
      <c r="I16" s="4" t="inlineStr"/>
      <c r="J16" s="9" t="inlineStr"/>
      <c r="K16" s="10" t="inlineStr"/>
      <c r="L16" s="11" t="inlineStr"/>
      <c r="M16" s="4" t="inlineStr"/>
      <c r="N16" s="4" t="inlineStr"/>
      <c r="O16" s="4" t="inlineStr"/>
      <c r="P16" s="4" t="inlineStr"/>
    </row>
    <row r="17">
      <c r="A17" s="4" t="inlineStr">
        <is>
          <t>Deutscher Kinderschutzbund OV</t>
        </is>
      </c>
      <c r="B17" s="4" t="inlineStr">
        <is>
          <t>Soziales</t>
        </is>
      </c>
      <c r="C17" s="4" t="inlineStr">
        <is>
          <t>Furtwangen</t>
        </is>
      </c>
      <c r="D17" s="4" t="inlineStr">
        <is>
          <t>info@dksb-furtwangen.de</t>
        </is>
      </c>
      <c r="E17" s="4" t="inlineStr">
        <is>
          <t>Groß &amp; Gelegentlich</t>
        </is>
      </c>
      <c r="F17" s="4" t="inlineStr"/>
      <c r="G17" s="4" t="inlineStr"/>
      <c r="H17" s="4" t="inlineStr"/>
      <c r="I17" s="4" t="inlineStr"/>
      <c r="J17" s="9" t="inlineStr"/>
      <c r="K17" s="10" t="inlineStr"/>
      <c r="L17" s="11" t="inlineStr"/>
      <c r="M17" s="4" t="inlineStr"/>
      <c r="N17" s="4" t="inlineStr"/>
      <c r="O17" s="4" t="inlineStr"/>
      <c r="P17" s="4" t="inlineStr"/>
    </row>
    <row r="18">
      <c r="A18" s="4" t="inlineStr">
        <is>
          <t>BUND Ortsverband</t>
        </is>
      </c>
      <c r="B18" s="4" t="inlineStr">
        <is>
          <t>Umweltschutz</t>
        </is>
      </c>
      <c r="C18" s="4" t="inlineStr">
        <is>
          <t>Königsfeld</t>
        </is>
      </c>
      <c r="D18" s="4" t="inlineStr">
        <is>
          <t>bund.sbh@bund.net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9" t="inlineStr"/>
      <c r="K18" s="10" t="inlineStr"/>
      <c r="L18" s="11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4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"Andreas Braxmeier,Nadine Beha,Sophie Scheffler,Ragavi Anusujantha,Nina Ludwig"</formula1>
    </dataValidation>
    <dataValidation sqref="M5:M114" showDropDown="0" showInputMessage="0" showErrorMessage="0" allowBlank="1" type="list">
      <formula1>"Zoom,Präsenz,Telefon,Teams,Sonstiges"</formula1>
    </dataValidation>
    <dataValidation sqref="O5:O114" showDropDown="0" showInputMessage="0" showErrorMessage="0" allowBlank="1" type="list">
      <formula1>"Bedarfsanalyse,Versorgungslage,Kooperationen,Prävention,Zugangsbarrieren,Best Practices,Zukunftswünsche,Sonstiges"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KLEIN &amp; REGELMÄSSIG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Bundesverband Psychiatrie-Erfahrener e.V.</t>
        </is>
      </c>
      <c r="B5" s="4" t="inlineStr">
        <is>
          <t>Selbsthilfe</t>
        </is>
      </c>
      <c r="C5" s="4" t="inlineStr">
        <is>
          <t>Villingen-Schwenningen</t>
        </is>
      </c>
      <c r="D5" s="4" t="inlineStr">
        <is>
          <t>kontakt-info@bpe-online.de</t>
        </is>
      </c>
      <c r="E5" s="4" t="inlineStr">
        <is>
          <t>Klein &amp; Regelmäßig</t>
        </is>
      </c>
      <c r="F5" s="4" t="inlineStr"/>
      <c r="G5" s="4" t="inlineStr"/>
      <c r="H5" s="4" t="inlineStr"/>
      <c r="I5" s="4" t="inlineStr"/>
      <c r="J5" s="9" t="inlineStr"/>
      <c r="K5" s="10" t="inlineStr"/>
      <c r="L5" s="11" t="inlineStr"/>
      <c r="M5" s="4" t="inlineStr"/>
      <c r="N5" s="4" t="inlineStr"/>
      <c r="O5" s="4" t="inlineStr"/>
      <c r="P5" s="4" t="inlineStr"/>
    </row>
    <row r="6">
      <c r="A6" s="4" t="inlineStr">
        <is>
          <t>Jugendhaus Fürstenberg</t>
        </is>
      </c>
      <c r="B6" s="4" t="inlineStr">
        <is>
          <t>Kinder- &amp; Jugendarbeit</t>
        </is>
      </c>
      <c r="C6" s="4" t="inlineStr">
        <is>
          <t>Hüfingen</t>
        </is>
      </c>
      <c r="D6" s="4" t="inlineStr">
        <is>
          <t>Svenja.markowitsch@huefingen.de</t>
        </is>
      </c>
      <c r="E6" s="4" t="inlineStr">
        <is>
          <t>Klein &amp; Regelmäßig</t>
        </is>
      </c>
      <c r="F6" s="4" t="inlineStr"/>
      <c r="G6" s="4" t="inlineStr"/>
      <c r="H6" s="4" t="inlineStr"/>
      <c r="I6" s="4" t="inlineStr"/>
      <c r="J6" s="9" t="inlineStr"/>
      <c r="K6" s="10" t="inlineStr"/>
      <c r="L6" s="11" t="inlineStr"/>
      <c r="M6" s="4" t="inlineStr"/>
      <c r="N6" s="4" t="inlineStr"/>
      <c r="O6" s="4" t="inlineStr"/>
      <c r="P6" s="4" t="inlineStr"/>
    </row>
    <row r="7">
      <c r="A7" s="4" t="inlineStr">
        <is>
          <t>Jugendtreff Hasen</t>
        </is>
      </c>
      <c r="B7" s="4" t="inlineStr">
        <is>
          <t>Kinder- &amp; Jugendarbeit</t>
        </is>
      </c>
      <c r="C7" s="4" t="inlineStr">
        <is>
          <t>Tuningen</t>
        </is>
      </c>
      <c r="D7" s="4" t="inlineStr">
        <is>
          <t>Jugendtreff-hasen@web.de</t>
        </is>
      </c>
      <c r="E7" s="4" t="inlineStr">
        <is>
          <t>Klein &amp; Regelmäßig</t>
        </is>
      </c>
      <c r="F7" s="4" t="inlineStr"/>
      <c r="G7" s="4" t="inlineStr"/>
      <c r="H7" s="4" t="inlineStr"/>
      <c r="I7" s="4" t="inlineStr"/>
      <c r="J7" s="9" t="inlineStr"/>
      <c r="K7" s="10" t="inlineStr"/>
      <c r="L7" s="11" t="inlineStr"/>
      <c r="M7" s="4" t="inlineStr"/>
      <c r="N7" s="4" t="inlineStr"/>
      <c r="O7" s="4" t="inlineStr"/>
      <c r="P7" s="4" t="inlineStr"/>
    </row>
    <row r="8">
      <c r="A8" s="4" t="inlineStr">
        <is>
          <t>Jugendclub Schabenhausen</t>
        </is>
      </c>
      <c r="B8" s="4" t="inlineStr">
        <is>
          <t>Kinder- &amp; Jugendarbeit</t>
        </is>
      </c>
      <c r="C8" s="4" t="inlineStr">
        <is>
          <t>Niedereschach</t>
        </is>
      </c>
      <c r="D8" s="4" t="inlineStr">
        <is>
          <t>info@jc-niederschach.de</t>
        </is>
      </c>
      <c r="E8" s="4" t="inlineStr">
        <is>
          <t>Klein &amp; Regelmäßig</t>
        </is>
      </c>
      <c r="F8" s="4" t="inlineStr"/>
      <c r="G8" s="4" t="inlineStr"/>
      <c r="H8" s="4" t="inlineStr"/>
      <c r="I8" s="4" t="inlineStr"/>
      <c r="J8" s="9" t="inlineStr"/>
      <c r="K8" s="10" t="inlineStr"/>
      <c r="L8" s="11" t="inlineStr"/>
      <c r="M8" s="4" t="inlineStr"/>
      <c r="N8" s="4" t="inlineStr"/>
      <c r="O8" s="4" t="inlineStr"/>
      <c r="P8" s="4" t="inlineStr"/>
    </row>
    <row r="9">
      <c r="A9" s="4" t="inlineStr">
        <is>
          <t>Naturparkschule Josef-Hebting-Schule</t>
        </is>
      </c>
      <c r="B9" s="4" t="inlineStr">
        <is>
          <t>Natur</t>
        </is>
      </c>
      <c r="C9" s="4" t="inlineStr">
        <is>
          <t>Vöhrenbach</t>
        </is>
      </c>
      <c r="D9" s="4" t="inlineStr">
        <is>
          <t>sekretariat@jhs-voehrenbach.de</t>
        </is>
      </c>
      <c r="E9" s="4" t="inlineStr">
        <is>
          <t>Klein &amp; Regelmäßig</t>
        </is>
      </c>
      <c r="F9" s="4" t="inlineStr"/>
      <c r="G9" s="4" t="inlineStr"/>
      <c r="H9" s="4" t="inlineStr"/>
      <c r="I9" s="4" t="inlineStr"/>
      <c r="J9" s="9" t="inlineStr"/>
      <c r="K9" s="10" t="inlineStr"/>
      <c r="L9" s="11" t="inlineStr"/>
      <c r="M9" s="4" t="inlineStr"/>
      <c r="N9" s="4" t="inlineStr"/>
      <c r="O9" s="4" t="inlineStr"/>
      <c r="P9" s="4" t="inlineStr"/>
    </row>
    <row r="10">
      <c r="A10" s="4" t="inlineStr">
        <is>
          <t>Jugendhaus Blumberg</t>
        </is>
      </c>
      <c r="B10" s="4" t="inlineStr">
        <is>
          <t>Kinder- &amp; Jugendarbeit</t>
        </is>
      </c>
      <c r="C10" s="4" t="inlineStr">
        <is>
          <t>Blumberg</t>
        </is>
      </c>
      <c r="D10" s="4" t="inlineStr">
        <is>
          <t>sasa.hustic@stadt-blumberg.de</t>
        </is>
      </c>
      <c r="E10" s="4" t="inlineStr">
        <is>
          <t>Klein &amp; Regelmäßig</t>
        </is>
      </c>
      <c r="F10" s="4" t="inlineStr"/>
      <c r="G10" s="4" t="inlineStr"/>
      <c r="H10" s="4" t="inlineStr"/>
      <c r="I10" s="4" t="inlineStr"/>
      <c r="J10" s="9" t="inlineStr"/>
      <c r="K10" s="10" t="inlineStr"/>
      <c r="L10" s="11" t="inlineStr"/>
      <c r="M10" s="4" t="inlineStr"/>
      <c r="N10" s="4" t="inlineStr"/>
      <c r="O10" s="4" t="inlineStr"/>
      <c r="P10" s="4" t="inlineStr"/>
    </row>
    <row r="11">
      <c r="A11" s="4" t="inlineStr">
        <is>
          <t>Jugendhaus Behla</t>
        </is>
      </c>
      <c r="B11" s="4" t="inlineStr">
        <is>
          <t>Kinder- &amp; Jugendarbeit</t>
        </is>
      </c>
      <c r="C11" s="4" t="inlineStr">
        <is>
          <t>Hüfingen</t>
        </is>
      </c>
      <c r="D11" s="4" t="inlineStr">
        <is>
          <t>Svenja.markowitsch@huefingen.de</t>
        </is>
      </c>
      <c r="E11" s="4" t="inlineStr">
        <is>
          <t>Klein &amp; Regelmäßig</t>
        </is>
      </c>
      <c r="F11" s="4" t="inlineStr"/>
      <c r="G11" s="4" t="inlineStr"/>
      <c r="H11" s="4" t="inlineStr"/>
      <c r="I11" s="4" t="inlineStr"/>
      <c r="J11" s="9" t="inlineStr"/>
      <c r="K11" s="10" t="inlineStr"/>
      <c r="L11" s="11" t="inlineStr"/>
      <c r="M11" s="4" t="inlineStr"/>
      <c r="N11" s="4" t="inlineStr"/>
      <c r="O11" s="4" t="inlineStr"/>
      <c r="P11" s="4" t="inlineStr"/>
    </row>
    <row r="12">
      <c r="A12" s="4" t="inlineStr">
        <is>
          <t>Generationentreff LEBENSWert</t>
        </is>
      </c>
      <c r="B12" s="4" t="inlineStr">
        <is>
          <t>Soziales</t>
        </is>
      </c>
      <c r="C12" s="4" t="inlineStr">
        <is>
          <t>Bad Dürrheim</t>
        </is>
      </c>
      <c r="D12" s="4" t="inlineStr">
        <is>
          <t>info@generationentreff-lebenswert.de</t>
        </is>
      </c>
      <c r="E12" s="4" t="inlineStr">
        <is>
          <t>Klein &amp; Regelmäßig</t>
        </is>
      </c>
      <c r="F12" s="4" t="inlineStr"/>
      <c r="G12" s="4" t="inlineStr"/>
      <c r="H12" s="4" t="inlineStr"/>
      <c r="I12" s="4" t="inlineStr"/>
      <c r="J12" s="9" t="inlineStr"/>
      <c r="K12" s="10" t="inlineStr"/>
      <c r="L12" s="11" t="inlineStr"/>
      <c r="M12" s="4" t="inlineStr"/>
      <c r="N12" s="4" t="inlineStr"/>
      <c r="O12" s="4" t="inlineStr"/>
      <c r="P12" s="4" t="inlineStr"/>
    </row>
    <row r="13">
      <c r="A13" s="4" t="inlineStr">
        <is>
          <t>Jugendmusikschule -- Musikalische Früherziehung</t>
        </is>
      </c>
      <c r="B13" s="4" t="inlineStr">
        <is>
          <t>Musik</t>
        </is>
      </c>
      <c r="C13" s="4" t="inlineStr">
        <is>
          <t>Triberg</t>
        </is>
      </c>
      <c r="D13" s="4" t="inlineStr">
        <is>
          <t>jms@jugendmusikschulen.de</t>
        </is>
      </c>
      <c r="E13" s="4" t="inlineStr">
        <is>
          <t>Klein &amp; Regelmäßig</t>
        </is>
      </c>
      <c r="F13" s="4" t="inlineStr"/>
      <c r="G13" s="4" t="inlineStr"/>
      <c r="H13" s="4" t="inlineStr"/>
      <c r="I13" s="4" t="inlineStr"/>
      <c r="J13" s="9" t="inlineStr"/>
      <c r="K13" s="10" t="inlineStr"/>
      <c r="L13" s="11" t="inlineStr"/>
      <c r="M13" s="4" t="inlineStr"/>
      <c r="N13" s="4" t="inlineStr"/>
      <c r="O13" s="4" t="inlineStr"/>
      <c r="P13" s="4" t="inlineStr"/>
    </row>
    <row r="14">
      <c r="A14" s="4" t="inlineStr">
        <is>
          <t>Jugendtreff</t>
        </is>
      </c>
      <c r="B14" s="4" t="inlineStr">
        <is>
          <t>Kinder- &amp; Jugendarbeit</t>
        </is>
      </c>
      <c r="C14" s="4" t="inlineStr">
        <is>
          <t>Furtwangen</t>
        </is>
      </c>
      <c r="D14" s="4" t="inlineStr">
        <is>
          <t>Dmaute.stadt@furtwangen.de</t>
        </is>
      </c>
      <c r="E14" s="4" t="inlineStr">
        <is>
          <t>Klein &amp; Regelmäßig</t>
        </is>
      </c>
      <c r="F14" s="4" t="inlineStr"/>
      <c r="G14" s="4" t="inlineStr"/>
      <c r="H14" s="4" t="inlineStr"/>
      <c r="I14" s="4" t="inlineStr"/>
      <c r="J14" s="9" t="inlineStr"/>
      <c r="K14" s="10" t="inlineStr"/>
      <c r="L14" s="11" t="inlineStr"/>
      <c r="M14" s="4" t="inlineStr"/>
      <c r="N14" s="4" t="inlineStr"/>
      <c r="O14" s="4" t="inlineStr"/>
      <c r="P14" s="4" t="inlineStr"/>
    </row>
    <row r="15">
      <c r="A15" s="4" t="inlineStr">
        <is>
          <t>Reitsportgemeinschaft Gnadental</t>
        </is>
      </c>
      <c r="B15" s="4" t="inlineStr">
        <is>
          <t>Sportangebot</t>
        </is>
      </c>
      <c r="C15" s="4" t="inlineStr">
        <is>
          <t>Donaueschingen</t>
        </is>
      </c>
      <c r="D15" s="4" t="inlineStr">
        <is>
          <t>(Tel. 0771 61723)</t>
        </is>
      </c>
      <c r="E15" s="4" t="inlineStr">
        <is>
          <t>Klein &amp; Regelmäßig</t>
        </is>
      </c>
      <c r="F15" s="4" t="inlineStr"/>
      <c r="G15" s="4" t="inlineStr"/>
      <c r="H15" s="4" t="inlineStr"/>
      <c r="I15" s="4" t="inlineStr"/>
      <c r="J15" s="9" t="inlineStr"/>
      <c r="K15" s="10" t="inlineStr"/>
      <c r="L15" s="11" t="inlineStr"/>
      <c r="M15" s="4" t="inlineStr"/>
      <c r="N15" s="4" t="inlineStr"/>
      <c r="O15" s="4" t="inlineStr"/>
      <c r="P15" s="4" t="inlineStr"/>
    </row>
    <row r="16">
      <c r="A16" s="4" t="inlineStr">
        <is>
          <t>Reit- und Fahrverein Donaueschingen e.V.</t>
        </is>
      </c>
      <c r="B16" s="4" t="inlineStr">
        <is>
          <t>Sportangebot</t>
        </is>
      </c>
      <c r="C16" s="4" t="inlineStr">
        <is>
          <t>Donaueschingen</t>
        </is>
      </c>
      <c r="D16" s="4" t="inlineStr">
        <is>
          <t>vorstand1@ruf-donaueschingen.de</t>
        </is>
      </c>
      <c r="E16" s="4" t="inlineStr">
        <is>
          <t>Klein &amp; Regelmäßig</t>
        </is>
      </c>
      <c r="F16" s="4" t="inlineStr"/>
      <c r="G16" s="4" t="inlineStr"/>
      <c r="H16" s="4" t="inlineStr"/>
      <c r="I16" s="4" t="inlineStr"/>
      <c r="J16" s="9" t="inlineStr"/>
      <c r="K16" s="10" t="inlineStr"/>
      <c r="L16" s="11" t="inlineStr"/>
      <c r="M16" s="4" t="inlineStr"/>
      <c r="N16" s="4" t="inlineStr"/>
      <c r="O16" s="4" t="inlineStr"/>
      <c r="P16" s="4" t="inlineStr"/>
    </row>
    <row r="17">
      <c r="A17" s="4" t="inlineStr">
        <is>
          <t>Jugendhaus Bohrturm</t>
        </is>
      </c>
      <c r="B17" s="4" t="inlineStr">
        <is>
          <t>Kinder- &amp; Jugendarbeit</t>
        </is>
      </c>
      <c r="C17" s="4" t="inlineStr">
        <is>
          <t>Bad Dürrheim</t>
        </is>
      </c>
      <c r="D17" s="4" t="inlineStr">
        <is>
          <t>jugendhaus@bad-duerrheim.de</t>
        </is>
      </c>
      <c r="E17" s="4" t="inlineStr">
        <is>
          <t>Klein &amp; Regelmäßig</t>
        </is>
      </c>
      <c r="F17" s="4" t="inlineStr"/>
      <c r="G17" s="4" t="inlineStr"/>
      <c r="H17" s="4" t="inlineStr"/>
      <c r="I17" s="4" t="inlineStr"/>
      <c r="J17" s="9" t="inlineStr"/>
      <c r="K17" s="10" t="inlineStr"/>
      <c r="L17" s="11" t="inlineStr"/>
      <c r="M17" s="4" t="inlineStr"/>
      <c r="N17" s="4" t="inlineStr"/>
      <c r="O17" s="4" t="inlineStr"/>
      <c r="P17" s="4" t="inlineStr"/>
    </row>
    <row r="18">
      <c r="A18" s="4" t="inlineStr">
        <is>
          <t>Jugendhaus Hüfingen</t>
        </is>
      </c>
      <c r="B18" s="4" t="inlineStr">
        <is>
          <t>Kinder- &amp; Jugendarbeit</t>
        </is>
      </c>
      <c r="C18" s="4" t="inlineStr">
        <is>
          <t>Hüfingen</t>
        </is>
      </c>
      <c r="D18" s="4" t="inlineStr">
        <is>
          <t>Svenja.markowitsch@huefingen.de</t>
        </is>
      </c>
      <c r="E18" s="4" t="inlineStr">
        <is>
          <t>Klein &amp; Regelmäßig</t>
        </is>
      </c>
      <c r="F18" s="4" t="inlineStr"/>
      <c r="G18" s="4" t="inlineStr"/>
      <c r="H18" s="4" t="inlineStr"/>
      <c r="I18" s="4" t="inlineStr"/>
      <c r="J18" s="9" t="inlineStr"/>
      <c r="K18" s="10" t="inlineStr"/>
      <c r="L18" s="11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4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"Andreas Braxmeier,Nadine Beha,Sophie Scheffler,Ragavi Anusujantha,Nina Ludwig"</formula1>
    </dataValidation>
    <dataValidation sqref="M5:M114" showDropDown="0" showInputMessage="0" showErrorMessage="0" allowBlank="1" type="list">
      <formula1>"Zoom,Präsenz,Telefon,Teams,Sonstiges"</formula1>
    </dataValidation>
    <dataValidation sqref="O5:O114" showDropDown="0" showInputMessage="0" showErrorMessage="0" allowBlank="1" type="list">
      <formula1>"Bedarfsanalyse,Versorgungslage,Kooperationen,Prävention,Zugangsbarrieren,Best Practices,Zukunftswünsche,Sonstiges"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KLEIN &amp; GELEGENTLICH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Initiative Gesund leben in St. Georgen</t>
        </is>
      </c>
      <c r="B5" s="4" t="inlineStr">
        <is>
          <t>Prävention</t>
        </is>
      </c>
      <c r="C5" s="4" t="inlineStr">
        <is>
          <t>St. Georgen</t>
        </is>
      </c>
      <c r="D5" s="4" t="inlineStr">
        <is>
          <t>(Keine Mail gefunden)</t>
        </is>
      </c>
      <c r="E5" s="4" t="inlineStr">
        <is>
          <t>Klein &amp; Gelegentlich</t>
        </is>
      </c>
      <c r="F5" s="4" t="inlineStr"/>
      <c r="G5" s="4" t="inlineStr"/>
      <c r="H5" s="4" t="inlineStr"/>
      <c r="I5" s="4" t="inlineStr"/>
      <c r="J5" s="9" t="inlineStr"/>
      <c r="K5" s="10" t="inlineStr"/>
      <c r="L5" s="11" t="inlineStr"/>
      <c r="M5" s="4" t="inlineStr"/>
      <c r="N5" s="4" t="inlineStr"/>
      <c r="O5" s="4" t="inlineStr"/>
      <c r="P5" s="4" t="inlineStr"/>
    </row>
    <row r="6">
      <c r="A6" s="4" t="inlineStr">
        <is>
          <t>Blaues Kreuz in Deutschland e.V.</t>
        </is>
      </c>
      <c r="B6" s="4" t="inlineStr">
        <is>
          <t>Prävention</t>
        </is>
      </c>
      <c r="C6" s="4" t="inlineStr">
        <is>
          <t>St. Georgen</t>
        </is>
      </c>
      <c r="D6" s="4" t="inlineStr">
        <is>
          <t>b.becker@bluprevent.de</t>
        </is>
      </c>
      <c r="E6" s="4" t="inlineStr">
        <is>
          <t>Klein &amp; Gelegentlich</t>
        </is>
      </c>
      <c r="F6" s="4" t="inlineStr"/>
      <c r="G6" s="4" t="inlineStr"/>
      <c r="H6" s="4" t="inlineStr"/>
      <c r="I6" s="4" t="inlineStr"/>
      <c r="J6" s="9" t="inlineStr"/>
      <c r="K6" s="10" t="inlineStr"/>
      <c r="L6" s="11" t="inlineStr"/>
      <c r="M6" s="4" t="inlineStr"/>
      <c r="N6" s="4" t="inlineStr"/>
      <c r="O6" s="4" t="inlineStr"/>
      <c r="P6" s="4" t="inlineStr"/>
    </row>
    <row r="7">
      <c r="A7" s="4" t="inlineStr">
        <is>
          <t>Kegel Sport Club Brigachtal</t>
        </is>
      </c>
      <c r="B7" s="4" t="inlineStr">
        <is>
          <t>Sportangebot</t>
        </is>
      </c>
      <c r="C7" s="4" t="inlineStr">
        <is>
          <t>Brigachtal</t>
        </is>
      </c>
      <c r="D7" s="4" t="inlineStr">
        <is>
          <t>Gunnar.tr@web.de</t>
        </is>
      </c>
      <c r="E7" s="4" t="inlineStr">
        <is>
          <t>Klein &amp; Gelegentlich</t>
        </is>
      </c>
      <c r="F7" s="4" t="inlineStr"/>
      <c r="G7" s="4" t="inlineStr"/>
      <c r="H7" s="4" t="inlineStr"/>
      <c r="I7" s="4" t="inlineStr"/>
      <c r="J7" s="9" t="inlineStr"/>
      <c r="K7" s="10" t="inlineStr"/>
      <c r="L7" s="11" t="inlineStr"/>
      <c r="M7" s="4" t="inlineStr"/>
      <c r="N7" s="4" t="inlineStr"/>
      <c r="O7" s="4" t="inlineStr"/>
      <c r="P7" s="4" t="inlineStr"/>
    </row>
    <row r="8">
      <c r="A8" s="4" t="inlineStr">
        <is>
          <t>Fischereigemeinschaft Gütenbach</t>
        </is>
      </c>
      <c r="B8" s="4" t="inlineStr">
        <is>
          <t>Sportangebot</t>
        </is>
      </c>
      <c r="C8" s="4" t="inlineStr">
        <is>
          <t>Gütenbach</t>
        </is>
      </c>
      <c r="D8" s="4" t="inlineStr">
        <is>
          <t>info@guetenbach.de</t>
        </is>
      </c>
      <c r="E8" s="4" t="inlineStr">
        <is>
          <t>Klein &amp; Gelegentlich</t>
        </is>
      </c>
      <c r="F8" s="4" t="inlineStr"/>
      <c r="G8" s="4" t="inlineStr"/>
      <c r="H8" s="4" t="inlineStr"/>
      <c r="I8" s="4" t="inlineStr"/>
      <c r="J8" s="9" t="inlineStr"/>
      <c r="K8" s="10" t="inlineStr"/>
      <c r="L8" s="11" t="inlineStr"/>
      <c r="M8" s="4" t="inlineStr"/>
      <c r="N8" s="4" t="inlineStr"/>
      <c r="O8" s="4" t="inlineStr"/>
      <c r="P8" s="4" t="inlineStr"/>
    </row>
    <row r="9">
      <c r="A9" s="4" t="inlineStr">
        <is>
          <t>Sportkegelclub Kegelfreunde Unterkirnach</t>
        </is>
      </c>
      <c r="B9" s="4" t="inlineStr">
        <is>
          <t>Sportangebot</t>
        </is>
      </c>
      <c r="C9" s="4" t="inlineStr">
        <is>
          <t>Unterkirnach</t>
        </is>
      </c>
      <c r="D9" s="4" t="inlineStr">
        <is>
          <t>vorstand.skckegelfreundeunterkirnach@gmx.de</t>
        </is>
      </c>
      <c r="E9" s="4" t="inlineStr">
        <is>
          <t>Klein &amp; Gelegentlich</t>
        </is>
      </c>
      <c r="F9" s="4" t="inlineStr"/>
      <c r="G9" s="4" t="inlineStr"/>
      <c r="H9" s="4" t="inlineStr"/>
      <c r="I9" s="4" t="inlineStr"/>
      <c r="J9" s="9" t="inlineStr"/>
      <c r="K9" s="10" t="inlineStr"/>
      <c r="L9" s="11" t="inlineStr"/>
      <c r="M9" s="4" t="inlineStr"/>
      <c r="N9" s="4" t="inlineStr"/>
      <c r="O9" s="4" t="inlineStr"/>
      <c r="P9" s="4" t="inlineStr"/>
    </row>
    <row r="10">
      <c r="A10" s="4" t="inlineStr">
        <is>
          <t>Harmonikaverein &amp; Josef-Hebting-Schule</t>
        </is>
      </c>
      <c r="B10" s="4" t="inlineStr">
        <is>
          <t>Musik</t>
        </is>
      </c>
      <c r="C10" s="4" t="inlineStr">
        <is>
          <t>Vöhrenbach</t>
        </is>
      </c>
      <c r="D10" s="4" t="inlineStr">
        <is>
          <t>marinaguenter@gmx.de</t>
        </is>
      </c>
      <c r="E10" s="4" t="inlineStr">
        <is>
          <t>Klein &amp; Gelegentlich</t>
        </is>
      </c>
      <c r="F10" s="4" t="inlineStr"/>
      <c r="G10" s="4" t="inlineStr"/>
      <c r="H10" s="4" t="inlineStr"/>
      <c r="I10" s="4" t="inlineStr"/>
      <c r="J10" s="9" t="inlineStr"/>
      <c r="K10" s="10" t="inlineStr"/>
      <c r="L10" s="11" t="inlineStr"/>
      <c r="M10" s="4" t="inlineStr"/>
      <c r="N10" s="4" t="inlineStr"/>
      <c r="O10" s="4" t="inlineStr"/>
      <c r="P10" s="4" t="inlineStr"/>
    </row>
    <row r="11">
      <c r="A11" s="4" t="inlineStr">
        <is>
          <t>VHS Tuningen</t>
        </is>
      </c>
      <c r="B11" s="4" t="inlineStr">
        <is>
          <t>Bildung</t>
        </is>
      </c>
      <c r="C11" s="4" t="inlineStr">
        <is>
          <t>Tuningen</t>
        </is>
      </c>
      <c r="D11" s="4" t="inlineStr">
        <is>
          <t>vhs@villingen-schwenningen.de</t>
        </is>
      </c>
      <c r="E11" s="4" t="inlineStr">
        <is>
          <t>Klein &amp; Gelegentlich</t>
        </is>
      </c>
      <c r="F11" s="4" t="inlineStr"/>
      <c r="G11" s="4" t="inlineStr"/>
      <c r="H11" s="4" t="inlineStr"/>
      <c r="I11" s="4" t="inlineStr"/>
      <c r="J11" s="9" t="inlineStr"/>
      <c r="K11" s="10" t="inlineStr"/>
      <c r="L11" s="11" t="inlineStr"/>
      <c r="M11" s="4" t="inlineStr"/>
      <c r="N11" s="4" t="inlineStr"/>
      <c r="O11" s="4" t="inlineStr"/>
      <c r="P11" s="4" t="inlineStr"/>
    </row>
    <row r="12">
      <c r="A12" s="4" t="inlineStr">
        <is>
          <t>Feuerwehr Schonach</t>
        </is>
      </c>
      <c r="B12" s="4" t="inlineStr">
        <is>
          <t>BOS</t>
        </is>
      </c>
      <c r="C12" s="4" t="inlineStr">
        <is>
          <t>Schonach</t>
        </is>
      </c>
      <c r="D12" s="4" t="inlineStr">
        <is>
          <t>ts@feuerwehr-schonach.de</t>
        </is>
      </c>
      <c r="E12" s="4" t="inlineStr">
        <is>
          <t>Klein &amp; Gelegentlich</t>
        </is>
      </c>
      <c r="F12" s="4" t="inlineStr"/>
      <c r="G12" s="4" t="inlineStr"/>
      <c r="H12" s="4" t="inlineStr"/>
      <c r="I12" s="4" t="inlineStr"/>
      <c r="J12" s="9" t="inlineStr"/>
      <c r="K12" s="10" t="inlineStr"/>
      <c r="L12" s="11" t="inlineStr"/>
      <c r="M12" s="4" t="inlineStr"/>
      <c r="N12" s="4" t="inlineStr"/>
      <c r="O12" s="4" t="inlineStr"/>
      <c r="P12" s="4" t="inlineStr"/>
    </row>
    <row r="13">
      <c r="A13" s="4" t="inlineStr">
        <is>
          <t>Städtischer Familienpass</t>
        </is>
      </c>
      <c r="B13" s="4" t="inlineStr">
        <is>
          <t>Kinder- &amp; Jugendarbeit</t>
        </is>
      </c>
      <c r="C13" s="4" t="inlineStr">
        <is>
          <t>Bräunlingen</t>
        </is>
      </c>
      <c r="D13" s="4" t="inlineStr">
        <is>
          <t>Stephanie.engesser@braeunlingen.de</t>
        </is>
      </c>
      <c r="E13" s="4" t="inlineStr">
        <is>
          <t>Klein &amp; Gelegentlich</t>
        </is>
      </c>
      <c r="F13" s="4" t="inlineStr"/>
      <c r="G13" s="4" t="inlineStr"/>
      <c r="H13" s="4" t="inlineStr"/>
      <c r="I13" s="4" t="inlineStr"/>
      <c r="J13" s="9" t="inlineStr"/>
      <c r="K13" s="10" t="inlineStr"/>
      <c r="L13" s="11" t="inlineStr"/>
      <c r="M13" s="4" t="inlineStr"/>
      <c r="N13" s="4" t="inlineStr"/>
      <c r="O13" s="4" t="inlineStr"/>
      <c r="P13" s="4" t="inlineStr"/>
    </row>
    <row r="14">
      <c r="A14" s="4" t="inlineStr">
        <is>
          <t>SBBZ Weiherdammschule</t>
        </is>
      </c>
      <c r="B14" s="4" t="inlineStr">
        <is>
          <t>Bildung / Beratung</t>
        </is>
      </c>
      <c r="C14" s="4" t="inlineStr">
        <is>
          <t>Blumberg</t>
        </is>
      </c>
      <c r="D14" s="4" t="inlineStr">
        <is>
          <t>info@weiherdammschule-blumberg.de</t>
        </is>
      </c>
      <c r="E14" s="4" t="inlineStr">
        <is>
          <t>Klein &amp; Gelegentlich</t>
        </is>
      </c>
      <c r="F14" s="4" t="inlineStr"/>
      <c r="G14" s="4" t="inlineStr"/>
      <c r="H14" s="4" t="inlineStr"/>
      <c r="I14" s="4" t="inlineStr"/>
      <c r="J14" s="9" t="inlineStr"/>
      <c r="K14" s="10" t="inlineStr"/>
      <c r="L14" s="11" t="inlineStr"/>
      <c r="M14" s="4" t="inlineStr"/>
      <c r="N14" s="4" t="inlineStr"/>
      <c r="O14" s="4" t="inlineStr"/>
      <c r="P14" s="4" t="inlineStr"/>
    </row>
    <row r="15">
      <c r="A15" s="4" t="inlineStr">
        <is>
          <t>Schulsozialarbeit GMS Eschach-Neckar</t>
        </is>
      </c>
      <c r="B15" s="4" t="inlineStr">
        <is>
          <t>Kinder- &amp; Jugendarbeit</t>
        </is>
      </c>
      <c r="C15" s="4" t="inlineStr">
        <is>
          <t>Niedereschach</t>
        </is>
      </c>
      <c r="D15" s="4" t="inlineStr">
        <is>
          <t>d_storz@lfa.org</t>
        </is>
      </c>
      <c r="E15" s="4" t="inlineStr">
        <is>
          <t>Klein &amp; Gelegentlich</t>
        </is>
      </c>
      <c r="F15" s="4" t="inlineStr"/>
      <c r="G15" s="4" t="inlineStr"/>
      <c r="H15" s="4" t="inlineStr"/>
      <c r="I15" s="4" t="inlineStr"/>
      <c r="J15" s="9" t="inlineStr"/>
      <c r="K15" s="10" t="inlineStr"/>
      <c r="L15" s="11" t="inlineStr"/>
      <c r="M15" s="4" t="inlineStr"/>
      <c r="N15" s="4" t="inlineStr"/>
      <c r="O15" s="4" t="inlineStr"/>
      <c r="P15" s="4" t="inlineStr"/>
    </row>
    <row r="16">
      <c r="A16" s="4" t="inlineStr">
        <is>
          <t>Sportkegelclub Rot-Weiß Unterkirnach</t>
        </is>
      </c>
      <c r="B16" s="4" t="inlineStr">
        <is>
          <t>Sportangebot</t>
        </is>
      </c>
      <c r="C16" s="4" t="inlineStr">
        <is>
          <t>Unterkirnach</t>
        </is>
      </c>
      <c r="D16" s="4" t="inlineStr">
        <is>
          <t>michaelstorzukn@t-online.de</t>
        </is>
      </c>
      <c r="E16" s="4" t="inlineStr">
        <is>
          <t>Klein &amp; Gelegentlich</t>
        </is>
      </c>
      <c r="F16" s="4" t="inlineStr"/>
      <c r="G16" s="4" t="inlineStr"/>
      <c r="H16" s="4" t="inlineStr"/>
      <c r="I16" s="4" t="inlineStr"/>
      <c r="J16" s="9" t="inlineStr"/>
      <c r="K16" s="10" t="inlineStr"/>
      <c r="L16" s="11" t="inlineStr"/>
      <c r="M16" s="4" t="inlineStr"/>
      <c r="N16" s="4" t="inlineStr"/>
      <c r="O16" s="4" t="inlineStr"/>
      <c r="P16" s="4" t="inlineStr"/>
    </row>
    <row r="17">
      <c r="A17" s="4" t="inlineStr">
        <is>
          <t>Trachtenkapelle Buchenberg</t>
        </is>
      </c>
      <c r="B17" s="4" t="inlineStr">
        <is>
          <t>Musik</t>
        </is>
      </c>
      <c r="C17" s="4" t="inlineStr">
        <is>
          <t>Königsfeld</t>
        </is>
      </c>
      <c r="D17" s="4" t="inlineStr">
        <is>
          <t>tk-buchenberg@t-online.de</t>
        </is>
      </c>
      <c r="E17" s="4" t="inlineStr">
        <is>
          <t>Klein &amp; Gelegentlich</t>
        </is>
      </c>
      <c r="F17" s="4" t="inlineStr"/>
      <c r="G17" s="4" t="inlineStr"/>
      <c r="H17" s="4" t="inlineStr"/>
      <c r="I17" s="4" t="inlineStr"/>
      <c r="J17" s="9" t="inlineStr"/>
      <c r="K17" s="10" t="inlineStr"/>
      <c r="L17" s="11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4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"Andreas Braxmeier,Nadine Beha,Sophie Scheffler,Ragavi Anusujantha,Nina Ludwig"</formula1>
    </dataValidation>
    <dataValidation sqref="M5:M113" showDropDown="0" showInputMessage="0" showErrorMessage="0" allowBlank="1" type="list">
      <formula1>"Zoom,Präsenz,Telefon,Teams,Sonstiges"</formula1>
    </dataValidation>
    <dataValidation sqref="O5:O113" showDropDown="0" showInputMessage="0" showErrorMessage="0" allowBlank="1" type="list">
      <formula1>"Bedarfsanalyse,Versorgungslage,Kooperationen,Prävention,Zugangsbarrieren,Best Practices,Zukunftswünsche,Sonstiges"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2026-01-12T18:47:49Z</dcterms:created>
  <dcterms:modified xmlns:dcterms="http://purl.org/dc/terms/" xmlns:xsi="http://www.w3.org/2001/XMLSchema-instance" xsi:type="dcterms:W3CDTF">2026-01-12T18:47:49Z</dcterms:modified>
</cp:coreProperties>
</file>